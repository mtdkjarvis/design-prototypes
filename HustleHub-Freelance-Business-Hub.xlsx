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Dashboard" sheetId="2" state="visible" r:id="rId2"/>
    <sheet name="Invoices" sheetId="3" state="visible" r:id="rId3"/>
    <sheet name="Time Tracker" sheetId="4" state="visible" r:id="rId4"/>
    <sheet name="Goa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Calibri"/>
      <b val="1"/>
      <color rgb="00212529"/>
      <sz val="14"/>
    </font>
    <font>
      <name val="Calibri"/>
      <b val="1"/>
      <color rgb="00FFFFFF"/>
      <sz val="10"/>
    </font>
    <font>
      <name val="Calibri"/>
      <color rgb="00212529"/>
      <sz val="10"/>
    </font>
    <font>
      <name val="Calibri"/>
      <color rgb="006C757D"/>
      <sz val="10"/>
    </font>
    <font>
      <name val="Calibri"/>
      <b val="1"/>
      <color rgb="00212529"/>
      <sz val="10"/>
    </font>
    <font>
      <name val="Calibri"/>
      <b val="1"/>
      <color rgb="000D6EFD"/>
      <sz val="24"/>
    </font>
    <font>
      <name val="Calibri"/>
      <i val="1"/>
      <color rgb="006C757D"/>
      <sz val="11"/>
    </font>
    <font>
      <name val="Calibri"/>
      <b val="1"/>
      <color rgb="000D6EFD"/>
      <sz val="9"/>
    </font>
    <font>
      <name val="Calibri"/>
      <b val="1"/>
      <color rgb="00212529"/>
      <sz val="20"/>
    </font>
    <font>
      <name val="Calibri"/>
      <color rgb="006C757D"/>
      <sz val="9"/>
    </font>
    <font>
      <name val="Calibri"/>
      <b val="1"/>
      <color rgb="00DC3545"/>
      <sz val="9"/>
    </font>
    <font>
      <name val="Calibri"/>
      <b val="1"/>
      <color rgb="00198754"/>
      <sz val="9"/>
    </font>
    <font>
      <name val="Calibri"/>
      <b val="1"/>
      <color rgb="000DCAF0"/>
      <sz val="9"/>
    </font>
    <font>
      <name val="Calibri"/>
      <b val="1"/>
      <color rgb="00212529"/>
      <sz val="12"/>
    </font>
    <font>
      <name val="Calibri"/>
      <b val="1"/>
      <color rgb="006C757D"/>
      <sz val="9"/>
    </font>
    <font>
      <name val="Calibri"/>
      <b val="1"/>
      <color rgb="006C757D"/>
      <sz val="10"/>
    </font>
    <font>
      <name val="Calibri"/>
      <b val="1"/>
      <color rgb="000D6EFD"/>
      <sz val="12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198754"/>
      <sz val="10"/>
    </font>
    <font>
      <name val="Calibri"/>
      <b val="1"/>
      <color rgb="000D6EFD"/>
      <sz val="10"/>
    </font>
  </fonts>
  <fills count="12">
    <fill>
      <patternFill/>
    </fill>
    <fill>
      <patternFill patternType="gray125"/>
    </fill>
    <fill>
      <patternFill patternType="solid">
        <fgColor rgb="00E9ECEF"/>
        <bgColor rgb="00E9ECEF"/>
      </patternFill>
    </fill>
    <fill>
      <patternFill patternType="solid">
        <fgColor rgb="00212529"/>
        <bgColor rgb="00212529"/>
      </patternFill>
    </fill>
    <fill>
      <patternFill patternType="solid">
        <fgColor rgb="00198754"/>
        <bgColor rgb="00198754"/>
      </patternFill>
    </fill>
    <fill>
      <patternFill patternType="solid">
        <fgColor rgb="00F8F9FA"/>
        <bgColor rgb="00F8F9FA"/>
      </patternFill>
    </fill>
    <fill>
      <patternFill patternType="solid">
        <fgColor rgb="00FFC107"/>
        <bgColor rgb="00FFC107"/>
      </patternFill>
    </fill>
    <fill>
      <patternFill patternType="solid">
        <fgColor rgb="00FFFFFF"/>
        <bgColor rgb="00FFFFFF"/>
      </patternFill>
    </fill>
    <fill>
      <patternFill patternType="solid">
        <fgColor rgb="000D6EFD"/>
        <bgColor rgb="000D6EFD"/>
      </patternFill>
    </fill>
    <fill>
      <patternFill patternType="solid">
        <fgColor rgb="00DC3545"/>
        <bgColor rgb="00DC3545"/>
      </patternFill>
    </fill>
    <fill>
      <patternFill patternType="solid">
        <fgColor rgb="000DCAF0"/>
        <bgColor rgb="000DCAF0"/>
      </patternFill>
    </fill>
    <fill>
      <patternFill patternType="solid">
        <fgColor rgb="00D1E7DD"/>
        <bgColor rgb="00D1E7DD"/>
      </patternFill>
    </fill>
  </fills>
  <borders count="22">
    <border>
      <left/>
      <right/>
      <top/>
      <bottom/>
      <diagonal/>
    </border>
    <border>
      <bottom style="thin">
        <color rgb="00DEE2E6"/>
      </bottom>
    </border>
    <border>
      <left style="medium">
        <color rgb="000D6EFD"/>
      </left>
      <top style="thin">
        <color rgb="00DEE2E6"/>
      </top>
    </border>
    <border>
      <right style="thin">
        <color rgb="00DEE2E6"/>
      </right>
      <top style="thin">
        <color rgb="00DEE2E6"/>
      </top>
    </border>
    <border>
      <left style="medium">
        <color rgb="000D6EFD"/>
      </left>
    </border>
    <border>
      <right style="thin">
        <color rgb="00DEE2E6"/>
      </right>
    </border>
    <border>
      <left style="medium">
        <color rgb="000D6EFD"/>
      </left>
      <bottom style="thin">
        <color rgb="00DEE2E6"/>
      </bottom>
    </border>
    <border>
      <right style="thin">
        <color rgb="00DEE2E6"/>
      </right>
      <bottom style="thin">
        <color rgb="00DEE2E6"/>
      </bottom>
    </border>
    <border>
      <left style="medium">
        <color rgb="00DC3545"/>
      </left>
      <top style="thin">
        <color rgb="00DEE2E6"/>
      </top>
    </border>
    <border>
      <left style="medium">
        <color rgb="00DC3545"/>
      </left>
    </border>
    <border>
      <left style="medium">
        <color rgb="00DC3545"/>
      </left>
      <bottom style="thin">
        <color rgb="00DEE2E6"/>
      </bottom>
    </border>
    <border>
      <left style="medium">
        <color rgb="00198754"/>
      </left>
      <top style="thin">
        <color rgb="00DEE2E6"/>
      </top>
    </border>
    <border>
      <left style="medium">
        <color rgb="00198754"/>
      </left>
    </border>
    <border>
      <left style="medium">
        <color rgb="00198754"/>
      </left>
      <bottom style="thin">
        <color rgb="00DEE2E6"/>
      </bottom>
    </border>
    <border>
      <left style="medium">
        <color rgb="000DCAF0"/>
      </left>
      <top style="thin">
        <color rgb="00DEE2E6"/>
      </top>
    </border>
    <border>
      <left style="medium">
        <color rgb="000DCAF0"/>
      </left>
    </border>
    <border>
      <left style="medium">
        <color rgb="000DCAF0"/>
      </left>
      <bottom style="thin">
        <color rgb="00DEE2E6"/>
      </bottom>
    </border>
    <border>
      <left style="thin">
        <color rgb="00DEE2E6"/>
      </left>
      <top style="thin">
        <color rgb="00DEE2E6"/>
      </top>
    </border>
    <border>
      <top style="thin">
        <color rgb="00DEE2E6"/>
      </top>
    </border>
    <border>
      <left style="thin">
        <color rgb="00DEE2E6"/>
      </left>
    </border>
    <border/>
    <border>
      <left style="thin">
        <color rgb="00DEE2E6"/>
      </left>
      <bottom style="thin">
        <color rgb="00DEE2E6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1" pivotButton="0" quotePrefix="0" xfId="0"/>
    <xf numFmtId="0" fontId="4" fillId="5" borderId="1" pivotButton="0" quotePrefix="0" xfId="0"/>
    <xf numFmtId="164" fontId="5" fillId="5" borderId="1" applyAlignment="1" pivotButton="0" quotePrefix="0" xfId="0">
      <alignment horizontal="right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164" fontId="5" fillId="7" borderId="1" applyAlignment="1" pivotButton="0" quotePrefix="0" xfId="0">
      <alignment horizontal="right"/>
    </xf>
    <xf numFmtId="0" fontId="2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5" fillId="7" borderId="1" pivotButton="0" quotePrefix="0" xfId="0"/>
    <xf numFmtId="0" fontId="4" fillId="7" borderId="1" applyAlignment="1" pivotButton="0" quotePrefix="0" xfId="0">
      <alignment horizontal="center"/>
    </xf>
    <xf numFmtId="0" fontId="5" fillId="5" borderId="1" pivotButton="0" quotePrefix="0" xfId="0"/>
    <xf numFmtId="0" fontId="4" fillId="5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0" fillId="8" borderId="0" pivotButton="0" quotePrefix="0" xfId="0"/>
    <xf numFmtId="0" fontId="8" fillId="7" borderId="2" applyAlignment="1" pivotButton="0" quotePrefix="0" xfId="0">
      <alignment horizontal="left" vertical="bottom"/>
    </xf>
    <xf numFmtId="0" fontId="0" fillId="7" borderId="3" pivotButton="0" quotePrefix="0" xfId="0"/>
    <xf numFmtId="0" fontId="11" fillId="7" borderId="8" applyAlignment="1" pivotButton="0" quotePrefix="0" xfId="0">
      <alignment horizontal="left" vertical="bottom"/>
    </xf>
    <xf numFmtId="0" fontId="12" fillId="7" borderId="11" applyAlignment="1" pivotButton="0" quotePrefix="0" xfId="0">
      <alignment horizontal="left" vertical="bottom"/>
    </xf>
    <xf numFmtId="0" fontId="13" fillId="7" borderId="14" applyAlignment="1" pivotButton="0" quotePrefix="0" xfId="0">
      <alignment horizontal="left" vertical="bottom"/>
    </xf>
    <xf numFmtId="164" fontId="9" fillId="7" borderId="4" applyAlignment="1" pivotButton="0" quotePrefix="0" xfId="0">
      <alignment horizontal="left" vertical="center"/>
    </xf>
    <xf numFmtId="0" fontId="0" fillId="7" borderId="5" pivotButton="0" quotePrefix="0" xfId="0"/>
    <xf numFmtId="164" fontId="9" fillId="7" borderId="9" applyAlignment="1" pivotButton="0" quotePrefix="0" xfId="0">
      <alignment horizontal="left" vertical="center"/>
    </xf>
    <xf numFmtId="3" fontId="9" fillId="7" borderId="12" applyAlignment="1" pivotButton="0" quotePrefix="0" xfId="0">
      <alignment horizontal="left" vertical="center"/>
    </xf>
    <xf numFmtId="3" fontId="9" fillId="7" borderId="15" applyAlignment="1" pivotButton="0" quotePrefix="0" xfId="0">
      <alignment horizontal="left" vertical="center"/>
    </xf>
    <xf numFmtId="0" fontId="10" fillId="7" borderId="6" applyAlignment="1" pivotButton="0" quotePrefix="0" xfId="0">
      <alignment horizontal="left" vertical="top"/>
    </xf>
    <xf numFmtId="0" fontId="0" fillId="7" borderId="7" pivotButton="0" quotePrefix="0" xfId="0"/>
    <xf numFmtId="0" fontId="10" fillId="7" borderId="10" applyAlignment="1" pivotButton="0" quotePrefix="0" xfId="0">
      <alignment horizontal="left" vertical="top"/>
    </xf>
    <xf numFmtId="0" fontId="10" fillId="7" borderId="13" applyAlignment="1" pivotButton="0" quotePrefix="0" xfId="0">
      <alignment horizontal="left" vertical="top"/>
    </xf>
    <xf numFmtId="0" fontId="10" fillId="7" borderId="16" applyAlignment="1" pivotButton="0" quotePrefix="0" xfId="0">
      <alignment horizontal="left" vertical="top"/>
    </xf>
    <xf numFmtId="0" fontId="14" fillId="2" borderId="17" applyAlignment="1" pivotButton="0" quotePrefix="0" xfId="0">
      <alignment horizontal="left" vertical="center"/>
    </xf>
    <xf numFmtId="0" fontId="0" fillId="2" borderId="18" pivotButton="0" quotePrefix="0" xfId="0"/>
    <xf numFmtId="0" fontId="0" fillId="2" borderId="3" pivotButton="0" quotePrefix="0" xfId="0"/>
    <xf numFmtId="0" fontId="15" fillId="7" borderId="19" applyAlignment="1" pivotButton="0" quotePrefix="0" xfId="0">
      <alignment horizontal="center" vertical="center"/>
    </xf>
    <xf numFmtId="0" fontId="15" fillId="7" borderId="20" applyAlignment="1" pivotButton="0" quotePrefix="0" xfId="0">
      <alignment horizontal="center" vertical="center"/>
    </xf>
    <xf numFmtId="0" fontId="15" fillId="7" borderId="5" applyAlignment="1" pivotButton="0" quotePrefix="0" xfId="0">
      <alignment horizontal="center" vertical="center"/>
    </xf>
    <xf numFmtId="0" fontId="18" fillId="3" borderId="2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164" fontId="14" fillId="7" borderId="21" applyAlignment="1" pivotButton="0" quotePrefix="0" xfId="0">
      <alignment horizontal="center" vertical="center"/>
    </xf>
    <xf numFmtId="164" fontId="14" fillId="7" borderId="1" applyAlignment="1" pivotButton="0" quotePrefix="0" xfId="0">
      <alignment horizontal="center" vertical="center"/>
    </xf>
    <xf numFmtId="164" fontId="14" fillId="7" borderId="7" applyAlignment="1" pivotButton="0" quotePrefix="0" xfId="0">
      <alignment horizontal="center" vertical="center"/>
    </xf>
    <xf numFmtId="164" fontId="3" fillId="7" borderId="2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18" fillId="6" borderId="1" applyAlignment="1" pivotButton="0" quotePrefix="0" xfId="0">
      <alignment horizontal="center" vertical="center"/>
    </xf>
    <xf numFmtId="0" fontId="16" fillId="7" borderId="21" applyAlignment="1" pivotButton="0" quotePrefix="0" xfId="0">
      <alignment horizontal="left" vertical="center"/>
    </xf>
    <xf numFmtId="0" fontId="0" fillId="7" borderId="1" pivotButton="0" quotePrefix="0" xfId="0"/>
    <xf numFmtId="164" fontId="17" fillId="7" borderId="1" applyAlignment="1" pivotButton="0" quotePrefix="0" xfId="0">
      <alignment horizontal="right" vertical="center"/>
    </xf>
    <xf numFmtId="0" fontId="3" fillId="7" borderId="21" applyAlignment="1" pivotButton="0" quotePrefix="0" xfId="0">
      <alignment horizontal="left" vertical="center"/>
    </xf>
    <xf numFmtId="0" fontId="18" fillId="9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9" fillId="3" borderId="0" applyAlignment="1" pivotButton="0" quotePrefix="0" xfId="0">
      <alignment horizontal="right" vertical="center"/>
    </xf>
    <xf numFmtId="0" fontId="0" fillId="3" borderId="0" pivotButton="0" quotePrefix="0" xfId="0"/>
    <xf numFmtId="164" fontId="19" fillId="3" borderId="0" applyAlignment="1" pivotButton="0" quotePrefix="0" xfId="0">
      <alignment horizontal="right" vertical="center"/>
    </xf>
    <xf numFmtId="0" fontId="19" fillId="9" borderId="0" applyAlignment="1" pivotButton="0" quotePrefix="0" xfId="0">
      <alignment horizontal="right" vertical="center"/>
    </xf>
    <xf numFmtId="0" fontId="0" fillId="9" borderId="0" pivotButton="0" quotePrefix="0" xfId="0"/>
    <xf numFmtId="164" fontId="19" fillId="9" borderId="0" applyAlignment="1" pivotButton="0" quotePrefix="0" xfId="0">
      <alignment horizontal="right" vertical="center"/>
    </xf>
    <xf numFmtId="0" fontId="0" fillId="10" borderId="0" pivotButton="0" quotePrefix="0" xfId="0"/>
    <xf numFmtId="2" fontId="5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right" vertical="center"/>
    </xf>
    <xf numFmtId="2" fontId="5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right" vertical="center"/>
    </xf>
    <xf numFmtId="2" fontId="19" fillId="3" borderId="0" applyAlignment="1" pivotButton="0" quotePrefix="0" xfId="0">
      <alignment horizontal="center" vertical="center"/>
    </xf>
    <xf numFmtId="165" fontId="19" fillId="3" borderId="0" applyAlignment="1" pivotButton="0" quotePrefix="0" xfId="0">
      <alignment horizontal="right" vertical="center"/>
    </xf>
    <xf numFmtId="0" fontId="0" fillId="6" borderId="0" pivotButton="0" quotePrefix="0" xfId="0"/>
    <xf numFmtId="164" fontId="14" fillId="7" borderId="1" applyAlignment="1" pivotButton="0" quotePrefix="0" xfId="0">
      <alignment horizontal="right" vertical="center"/>
    </xf>
    <xf numFmtId="0" fontId="3" fillId="5" borderId="21" applyAlignment="1" pivotButton="0" quotePrefix="0" xfId="0">
      <alignment horizontal="left" vertical="center"/>
    </xf>
    <xf numFmtId="164" fontId="14" fillId="5" borderId="1" applyAlignment="1" pivotButton="0" quotePrefix="0" xfId="0">
      <alignment horizontal="right" vertical="center"/>
    </xf>
    <xf numFmtId="0" fontId="0" fillId="5" borderId="7" pivotButton="0" quotePrefix="0" xfId="0"/>
    <xf numFmtId="0" fontId="3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right" vertical="center"/>
    </xf>
    <xf numFmtId="9" fontId="21" fillId="5" borderId="7" applyAlignment="1" pivotButton="0" quotePrefix="0" xfId="0">
      <alignment horizontal="center" vertical="center"/>
    </xf>
    <xf numFmtId="9" fontId="14" fillId="7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right" vertical="center"/>
    </xf>
    <xf numFmtId="9" fontId="21" fillId="7" borderId="7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0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6EFD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36" customWidth="1" min="3" max="3"/>
    <col width="12" customWidth="1" min="4" max="4"/>
    <col width="14" customWidth="1" min="5" max="5"/>
    <col width="16" customWidth="1" min="6" max="6"/>
  </cols>
  <sheetData>
    <row r="1" ht="28" customHeight="1">
      <c r="A1" s="1" t="inlineStr">
        <is>
          <t>PROJECTS</t>
        </is>
      </c>
    </row>
    <row r="2" ht="24" customHeight="1">
      <c r="A2" s="2" t="inlineStr">
        <is>
          <t>Project</t>
        </is>
      </c>
      <c r="B2" s="2" t="inlineStr">
        <is>
          <t>Client</t>
        </is>
      </c>
      <c r="C2" s="2" t="inlineStr">
        <is>
          <t>Description</t>
        </is>
      </c>
      <c r="D2" s="2" t="inlineStr">
        <is>
          <t>Amount</t>
        </is>
      </c>
      <c r="E2" s="2" t="inlineStr">
        <is>
          <t>Status</t>
        </is>
      </c>
      <c r="F2" s="2" t="inlineStr">
        <is>
          <t>Hours</t>
        </is>
      </c>
    </row>
    <row r="3" ht="22" customHeight="1">
      <c r="A3" s="3" t="inlineStr">
        <is>
          <t>Brand Refresh</t>
        </is>
      </c>
      <c r="B3" s="4" t="inlineStr">
        <is>
          <t>Acme Corp</t>
        </is>
      </c>
      <c r="C3" s="4" t="inlineStr">
        <is>
          <t>Logo, guidelines, collateral</t>
        </is>
      </c>
      <c r="D3" s="5" t="n">
        <v>8500</v>
      </c>
      <c r="E3" s="6" t="inlineStr">
        <is>
          <t>In Progress</t>
        </is>
      </c>
      <c r="F3" s="7" t="n">
        <v>45</v>
      </c>
    </row>
    <row r="4" ht="22" customHeight="1">
      <c r="A4" s="8" t="inlineStr">
        <is>
          <t>Website Redesign</t>
        </is>
      </c>
      <c r="B4" s="9" t="inlineStr">
        <is>
          <t>Bloom</t>
        </is>
      </c>
      <c r="C4" s="9" t="inlineStr">
        <is>
          <t>E-commerce, 12 pages, Shopify</t>
        </is>
      </c>
      <c r="D4" s="10" t="n">
        <v>12000</v>
      </c>
      <c r="E4" s="11" t="inlineStr">
        <is>
          <t>Review</t>
        </is>
      </c>
      <c r="F4" s="12" t="n">
        <v>78</v>
      </c>
    </row>
    <row r="5" ht="22" customHeight="1">
      <c r="A5" s="3" t="inlineStr">
        <is>
          <t>App UI</t>
        </is>
      </c>
      <c r="B5" s="4" t="inlineStr">
        <is>
          <t>FitTrack</t>
        </is>
      </c>
      <c r="C5" s="4" t="inlineStr">
        <is>
          <t>iOS &amp; Android, 40 screens</t>
        </is>
      </c>
      <c r="D5" s="5" t="n">
        <v>15000</v>
      </c>
      <c r="E5" s="6" t="inlineStr">
        <is>
          <t>In Progress</t>
        </is>
      </c>
      <c r="F5" s="7" t="n">
        <v>12</v>
      </c>
    </row>
    <row r="6" ht="22" customHeight="1">
      <c r="A6" s="8" t="inlineStr">
        <is>
          <t>Dashboard</t>
        </is>
      </c>
      <c r="B6" s="9" t="inlineStr">
        <is>
          <t>Metricly</t>
        </is>
      </c>
      <c r="C6" s="9" t="inlineStr">
        <is>
          <t>Analytics UI, data viz</t>
        </is>
      </c>
      <c r="D6" s="10" t="n">
        <v>9500</v>
      </c>
      <c r="E6" s="6" t="inlineStr">
        <is>
          <t>In Progress</t>
        </is>
      </c>
      <c r="F6" s="12" t="n">
        <v>8</v>
      </c>
    </row>
    <row r="7" ht="22" customHeight="1">
      <c r="A7" s="3" t="inlineStr">
        <is>
          <t>Email Campaign</t>
        </is>
      </c>
      <c r="B7" s="4" t="inlineStr">
        <is>
          <t>SaaSync</t>
        </is>
      </c>
      <c r="C7" s="4" t="inlineStr">
        <is>
          <t>5 templates, automation</t>
        </is>
      </c>
      <c r="D7" s="5" t="n">
        <v>3200</v>
      </c>
      <c r="E7" s="13" t="inlineStr">
        <is>
          <t>Billed</t>
        </is>
      </c>
      <c r="F7" s="7" t="n">
        <v>22</v>
      </c>
    </row>
    <row r="10" ht="28" customHeight="1">
      <c r="A10" s="1" t="inlineStr">
        <is>
          <t>INVOICES</t>
        </is>
      </c>
    </row>
    <row r="11" ht="24" customHeight="1">
      <c r="A11" s="2" t="inlineStr">
        <is>
          <t>Invoice #</t>
        </is>
      </c>
      <c r="B11" s="2" t="inlineStr">
        <is>
          <t>Client</t>
        </is>
      </c>
      <c r="C11" s="2" t="inlineStr">
        <is>
          <t>Date</t>
        </is>
      </c>
      <c r="D11" s="2" t="inlineStr">
        <is>
          <t>Amount</t>
        </is>
      </c>
      <c r="E11" s="2" t="inlineStr">
        <is>
          <t>Status</t>
        </is>
      </c>
      <c r="F11" s="2" t="inlineStr">
        <is>
          <t>Days Outstanding</t>
        </is>
      </c>
    </row>
    <row r="12" ht="22" customHeight="1">
      <c r="A12" s="8" t="inlineStr">
        <is>
          <t>INV-2026-042</t>
        </is>
      </c>
      <c r="B12" s="9" t="inlineStr">
        <is>
          <t>Acme Corp</t>
        </is>
      </c>
      <c r="C12" s="9" t="inlineStr">
        <is>
          <t>2026-06-01</t>
        </is>
      </c>
      <c r="D12" s="10" t="n">
        <v>4250</v>
      </c>
      <c r="E12" s="6" t="inlineStr">
        <is>
          <t>Paid</t>
        </is>
      </c>
      <c r="F12" s="12" t="n">
        <v>10</v>
      </c>
    </row>
    <row r="13" ht="22" customHeight="1">
      <c r="A13" s="3" t="inlineStr">
        <is>
          <t>INV-2026-041</t>
        </is>
      </c>
      <c r="B13" s="4" t="inlineStr">
        <is>
          <t>Bloom</t>
        </is>
      </c>
      <c r="C13" s="4" t="inlineStr">
        <is>
          <t>2026-05-28</t>
        </is>
      </c>
      <c r="D13" s="5" t="n">
        <v>6000</v>
      </c>
      <c r="E13" s="6" t="inlineStr">
        <is>
          <t>Paid</t>
        </is>
      </c>
      <c r="F13" s="7" t="n">
        <v>14</v>
      </c>
    </row>
    <row r="14" ht="22" customHeight="1">
      <c r="A14" s="8" t="inlineStr">
        <is>
          <t>INV-2026-040</t>
        </is>
      </c>
      <c r="B14" s="9" t="inlineStr">
        <is>
          <t>Metricly</t>
        </is>
      </c>
      <c r="C14" s="9" t="inlineStr">
        <is>
          <t>2026-06-05</t>
        </is>
      </c>
      <c r="D14" s="10" t="n">
        <v>4750</v>
      </c>
      <c r="E14" s="11" t="inlineStr">
        <is>
          <t>Pending</t>
        </is>
      </c>
      <c r="F14" s="12" t="n">
        <v>6</v>
      </c>
    </row>
    <row r="15" ht="22" customHeight="1">
      <c r="A15" s="3" t="inlineStr">
        <is>
          <t>INV-2026-039</t>
        </is>
      </c>
      <c r="B15" s="4" t="inlineStr">
        <is>
          <t>SaaSync</t>
        </is>
      </c>
      <c r="C15" s="4" t="inlineStr">
        <is>
          <t>2026-05-15</t>
        </is>
      </c>
      <c r="D15" s="5" t="n">
        <v>3200</v>
      </c>
      <c r="E15" s="6" t="inlineStr">
        <is>
          <t>Paid</t>
        </is>
      </c>
      <c r="F15" s="7" t="n">
        <v>27</v>
      </c>
    </row>
    <row r="16" ht="22" customHeight="1">
      <c r="A16" s="8" t="inlineStr">
        <is>
          <t>INV-2026-038</t>
        </is>
      </c>
      <c r="B16" s="9" t="inlineStr">
        <is>
          <t>FitTrack</t>
        </is>
      </c>
      <c r="C16" s="9" t="inlineStr">
        <is>
          <t>2026-05-01</t>
        </is>
      </c>
      <c r="D16" s="10" t="n">
        <v>5000</v>
      </c>
      <c r="E16" s="14" t="inlineStr">
        <is>
          <t>Overdue</t>
        </is>
      </c>
      <c r="F16" s="12" t="n">
        <v>41</v>
      </c>
    </row>
    <row r="17" ht="22" customHeight="1">
      <c r="A17" s="3" t="inlineStr">
        <is>
          <t>INV-2026-037</t>
        </is>
      </c>
      <c r="B17" s="4" t="inlineStr">
        <is>
          <t>Acme Corp</t>
        </is>
      </c>
      <c r="C17" s="4" t="inlineStr">
        <is>
          <t>2026-04-20</t>
        </is>
      </c>
      <c r="D17" s="5" t="n">
        <v>4250</v>
      </c>
      <c r="E17" s="6" t="inlineStr">
        <is>
          <t>Paid</t>
        </is>
      </c>
      <c r="F17" s="7" t="n">
        <v>52</v>
      </c>
    </row>
    <row r="20" ht="28" customHeight="1">
      <c r="A20" s="1" t="inlineStr">
        <is>
          <t>CLIENTS</t>
        </is>
      </c>
    </row>
    <row r="21" ht="24" customHeight="1">
      <c r="A21" s="2" t="inlineStr">
        <is>
          <t>Client</t>
        </is>
      </c>
      <c r="B21" s="2" t="inlineStr">
        <is>
          <t>Projects</t>
        </is>
      </c>
      <c r="C21" s="2" t="inlineStr">
        <is>
          <t>Status</t>
        </is>
      </c>
      <c r="D21" s="2" t="inlineStr">
        <is>
          <t>Lifetime Value</t>
        </is>
      </c>
      <c r="E21" s="2" t="inlineStr">
        <is>
          <t>Last Contact</t>
        </is>
      </c>
    </row>
    <row r="22" ht="22" customHeight="1">
      <c r="A22" s="15" t="inlineStr">
        <is>
          <t>Acme Corp</t>
        </is>
      </c>
      <c r="B22" s="12" t="inlineStr">
        <is>
          <t>3</t>
        </is>
      </c>
      <c r="C22" s="6" t="inlineStr">
        <is>
          <t>Active</t>
        </is>
      </c>
      <c r="D22" s="10" t="n">
        <v>17000</v>
      </c>
      <c r="E22" s="16" t="inlineStr">
        <is>
          <t>2 days ago</t>
        </is>
      </c>
    </row>
    <row r="23" ht="22" customHeight="1">
      <c r="A23" s="17" t="inlineStr">
        <is>
          <t>Bloom</t>
        </is>
      </c>
      <c r="B23" s="7" t="inlineStr">
        <is>
          <t>1</t>
        </is>
      </c>
      <c r="C23" s="11" t="inlineStr">
        <is>
          <t>In Review</t>
        </is>
      </c>
      <c r="D23" s="5" t="n">
        <v>12000</v>
      </c>
      <c r="E23" s="18" t="inlineStr">
        <is>
          <t>Yesterday</t>
        </is>
      </c>
    </row>
    <row r="24" ht="22" customHeight="1">
      <c r="A24" s="15" t="inlineStr">
        <is>
          <t>FitTrack</t>
        </is>
      </c>
      <c r="B24" s="12" t="inlineStr">
        <is>
          <t>1</t>
        </is>
      </c>
      <c r="C24" s="19" t="inlineStr">
        <is>
          <t>Kickoff Next Week</t>
        </is>
      </c>
      <c r="D24" s="10" t="n">
        <v>15000</v>
      </c>
      <c r="E24" s="16" t="inlineStr">
        <is>
          <t>Jun 5</t>
        </is>
      </c>
    </row>
    <row r="25" ht="22" customHeight="1">
      <c r="A25" s="17" t="inlineStr">
        <is>
          <t>Metricly</t>
        </is>
      </c>
      <c r="B25" s="7" t="inlineStr">
        <is>
          <t>2</t>
        </is>
      </c>
      <c r="C25" s="6" t="inlineStr">
        <is>
          <t>Active</t>
        </is>
      </c>
      <c r="D25" s="5" t="n">
        <v>14250</v>
      </c>
      <c r="E25" s="18" t="inlineStr">
        <is>
          <t>Today</t>
        </is>
      </c>
    </row>
    <row r="26" ht="22" customHeight="1">
      <c r="A26" s="15" t="inlineStr">
        <is>
          <t>SaaSync</t>
        </is>
      </c>
      <c r="B26" s="12" t="inlineStr">
        <is>
          <t>1</t>
        </is>
      </c>
      <c r="C26" s="13" t="inlineStr">
        <is>
          <t>Delivered</t>
        </is>
      </c>
      <c r="D26" s="10" t="n">
        <v>3200</v>
      </c>
      <c r="E26" s="16" t="inlineStr">
        <is>
          <t>Jun 2</t>
        </is>
      </c>
    </row>
  </sheetData>
  <mergeCells count="3">
    <mergeCell ref="A1:F1"/>
    <mergeCell ref="A20:E20"/>
    <mergeCell ref="A10:F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D6EFD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4" customWidth="1" min="3" max="3"/>
    <col width="16" customWidth="1" min="4" max="4"/>
    <col width="4" customWidth="1" min="5" max="5"/>
    <col width="16" customWidth="1" min="6" max="6"/>
    <col width="4" customWidth="1" min="7" max="7"/>
    <col width="16" customWidth="1" min="8" max="8"/>
  </cols>
  <sheetData>
    <row r="1" ht="42" customHeight="1">
      <c r="A1" s="20" t="inlineStr">
        <is>
          <t>HUSTLEHUB</t>
        </is>
      </c>
    </row>
    <row r="2" ht="18" customHeight="1">
      <c r="A2" s="21" t="inlineStr">
        <is>
          <t>Freelance Business Command Center</t>
        </is>
      </c>
    </row>
    <row r="3" ht="4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16" customHeight="1"/>
    <row r="5" ht="20" customHeight="1">
      <c r="A5" s="23" t="inlineStr">
        <is>
          <t>REVENUE YTD</t>
        </is>
      </c>
      <c r="B5" s="24" t="n"/>
      <c r="C5" s="25" t="inlineStr">
        <is>
          <t>OUTSTANDING</t>
        </is>
      </c>
      <c r="D5" s="24" t="n"/>
      <c r="E5" s="26" t="inlineStr">
        <is>
          <t>HOURS BILLED</t>
        </is>
      </c>
      <c r="F5" s="24" t="n"/>
      <c r="G5" s="27" t="inlineStr">
        <is>
          <t>ACTIVE PROJECTS</t>
        </is>
      </c>
      <c r="H5" s="24" t="n"/>
    </row>
    <row r="6" ht="38" customHeight="1">
      <c r="A6" s="28">
        <f>SUM(Data!D3:D7)</f>
        <v/>
      </c>
      <c r="B6" s="29" t="n"/>
      <c r="C6" s="30">
        <f>SUMIFS(Data!D12:D17,Data!E12:E17,"&lt;&gt;Paid")</f>
        <v/>
      </c>
      <c r="D6" s="29" t="n"/>
      <c r="E6" s="31">
        <f>SUM(Data!F3:F7)</f>
        <v/>
      </c>
      <c r="F6" s="29" t="n"/>
      <c r="G6" s="32">
        <f>COUNTIF(Data!E3:E7,"In Progress")+COUNTIF(Data!E3:E7,"Review")</f>
        <v/>
      </c>
      <c r="H6" s="29" t="n"/>
    </row>
    <row r="7" ht="18" customHeight="1">
      <c r="A7" s="33" t="inlineStr">
        <is>
          <t>All project revenue</t>
        </is>
      </c>
      <c r="B7" s="34" t="n"/>
      <c r="C7" s="35" t="inlineStr">
        <is>
          <t>Unpaid invoices only</t>
        </is>
      </c>
      <c r="D7" s="34" t="n"/>
      <c r="E7" s="36" t="inlineStr">
        <is>
          <t>Total logged hours</t>
        </is>
      </c>
      <c r="F7" s="34" t="n"/>
      <c r="G7" s="37" t="inlineStr">
        <is>
          <t>In Progress + Review</t>
        </is>
      </c>
      <c r="H7" s="34" t="n"/>
    </row>
    <row r="8" ht="16" customHeight="1"/>
    <row r="9" ht="28" customHeight="1">
      <c r="A9" s="38" t="inlineStr">
        <is>
          <t>Revenue Trend</t>
        </is>
      </c>
      <c r="B9" s="39" t="n"/>
      <c r="C9" s="39" t="n"/>
      <c r="D9" s="40" t="n"/>
      <c r="E9" s="38" t="inlineStr">
        <is>
          <t>Outstanding by Client</t>
        </is>
      </c>
      <c r="F9" s="39" t="n"/>
      <c r="G9" s="39" t="n"/>
      <c r="H9" s="40" t="n"/>
    </row>
    <row r="10" ht="22" customHeight="1">
      <c r="A10" s="41" t="inlineStr">
        <is>
          <t>Jan</t>
        </is>
      </c>
      <c r="B10" s="42" t="inlineStr">
        <is>
          <t>Feb</t>
        </is>
      </c>
      <c r="C10" s="42" t="inlineStr">
        <is>
          <t>Mar</t>
        </is>
      </c>
      <c r="D10" s="43" t="inlineStr">
        <is>
          <t>Apr</t>
        </is>
      </c>
      <c r="E10" s="44" t="inlineStr">
        <is>
          <t>Client</t>
        </is>
      </c>
      <c r="F10" s="44" t="inlineStr">
        <is>
          <t>Amount</t>
        </is>
      </c>
      <c r="G10" s="45" t="inlineStr">
        <is>
          <t>Status</t>
        </is>
      </c>
    </row>
    <row r="11" ht="24" customHeight="1">
      <c r="A11" s="46" t="n">
        <v>4200</v>
      </c>
      <c r="B11" s="47" t="n">
        <v>5800</v>
      </c>
      <c r="C11" s="47" t="n">
        <v>7100</v>
      </c>
      <c r="D11" s="48" t="n">
        <v>9300</v>
      </c>
      <c r="E11" s="49" t="inlineStr">
        <is>
          <t>Metricly</t>
        </is>
      </c>
      <c r="F11" s="50">
        <f>SUMIFS(Data!D12:D17,Data!B12:B17,"Metricly",Data!E12:E17,"Pending")</f>
        <v/>
      </c>
      <c r="G11" s="51" t="inlineStr">
        <is>
          <t>Pending</t>
        </is>
      </c>
      <c r="H11" s="34" t="inlineStr"/>
    </row>
    <row r="12" ht="24" customHeight="1">
      <c r="A12" s="52" t="inlineStr">
        <is>
          <t>Total</t>
        </is>
      </c>
      <c r="B12" s="53" t="n"/>
      <c r="C12" s="54">
        <f>SUM(A11:D11)</f>
        <v/>
      </c>
      <c r="D12" s="34" t="n"/>
      <c r="E12" s="55" t="inlineStr">
        <is>
          <t>FitTrack</t>
        </is>
      </c>
      <c r="F12" s="50">
        <f>SUMIFS(Data!D12:D17,Data!B12:B17,"FitTrack",Data!E12:E17,"Overdue")</f>
        <v/>
      </c>
      <c r="G12" s="56" t="inlineStr">
        <is>
          <t>Overdue</t>
        </is>
      </c>
      <c r="H12" s="34" t="inlineStr"/>
    </row>
    <row r="13" ht="16" customHeight="1"/>
  </sheetData>
  <mergeCells count="18">
    <mergeCell ref="C12:D12"/>
    <mergeCell ref="A9:D9"/>
    <mergeCell ref="E6:F6"/>
    <mergeCell ref="C6:D6"/>
    <mergeCell ref="C7:D7"/>
    <mergeCell ref="A7:B7"/>
    <mergeCell ref="G7:H7"/>
    <mergeCell ref="E7:F7"/>
    <mergeCell ref="E9:H9"/>
    <mergeCell ref="A2:H2"/>
    <mergeCell ref="C5:D5"/>
    <mergeCell ref="A5:B5"/>
    <mergeCell ref="G5:H5"/>
    <mergeCell ref="E5:F5"/>
    <mergeCell ref="G6:H6"/>
    <mergeCell ref="A1:H1"/>
    <mergeCell ref="A6:B6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98754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</cols>
  <sheetData>
    <row r="1" ht="38" customHeight="1">
      <c r="A1" s="57" t="inlineStr">
        <is>
          <t>INVOICES</t>
        </is>
      </c>
    </row>
    <row r="2" ht="18" customHeight="1">
      <c r="A2" s="21" t="inlineStr">
        <is>
          <t>Invoice tracking and payment management</t>
        </is>
      </c>
    </row>
    <row r="3" ht="4" customHeight="1">
      <c r="A3" s="58" t="n"/>
      <c r="B3" s="58" t="n"/>
      <c r="C3" s="58" t="n"/>
      <c r="D3" s="58" t="n"/>
      <c r="E3" s="58" t="n"/>
      <c r="F3" s="58" t="n"/>
      <c r="G3" s="58" t="n"/>
    </row>
    <row r="4" ht="16" customHeight="1"/>
    <row r="5" ht="26" customHeight="1">
      <c r="A5" s="2" t="inlineStr">
        <is>
          <t>Invoice #</t>
        </is>
      </c>
      <c r="B5" s="2" t="inlineStr">
        <is>
          <t>Client</t>
        </is>
      </c>
      <c r="C5" s="2" t="inlineStr">
        <is>
          <t>Date</t>
        </is>
      </c>
      <c r="D5" s="2" t="inlineStr">
        <is>
          <t>Amount</t>
        </is>
      </c>
      <c r="E5" s="2" t="inlineStr">
        <is>
          <t>Status</t>
        </is>
      </c>
      <c r="F5" s="2" t="inlineStr">
        <is>
          <t>Days Outstanding</t>
        </is>
      </c>
      <c r="G5" s="2" t="inlineStr">
        <is>
          <t>Payment Due</t>
        </is>
      </c>
    </row>
    <row r="6" ht="24" customHeight="1">
      <c r="A6" s="59" t="inlineStr">
        <is>
          <t>INV-2026-042</t>
        </is>
      </c>
      <c r="B6" s="60" t="inlineStr">
        <is>
          <t>Acme Corp</t>
        </is>
      </c>
      <c r="C6" s="61" t="inlineStr">
        <is>
          <t>2026-06-01</t>
        </is>
      </c>
      <c r="D6" s="50" t="n">
        <v>4250</v>
      </c>
      <c r="E6" s="62" t="inlineStr">
        <is>
          <t>Paid</t>
        </is>
      </c>
      <c r="F6" s="63" t="n">
        <v>10</v>
      </c>
      <c r="G6" s="61" t="inlineStr">
        <is>
          <t>N/A</t>
        </is>
      </c>
    </row>
    <row r="7" ht="24" customHeight="1">
      <c r="A7" s="64" t="inlineStr">
        <is>
          <t>INV-2026-041</t>
        </is>
      </c>
      <c r="B7" s="65" t="inlineStr">
        <is>
          <t>Bloom</t>
        </is>
      </c>
      <c r="C7" s="66" t="inlineStr">
        <is>
          <t>2026-05-28</t>
        </is>
      </c>
      <c r="D7" s="67" t="n">
        <v>6000</v>
      </c>
      <c r="E7" s="62" t="inlineStr">
        <is>
          <t>Paid</t>
        </is>
      </c>
      <c r="F7" s="68" t="n">
        <v>14</v>
      </c>
      <c r="G7" s="66" t="inlineStr">
        <is>
          <t>N/A</t>
        </is>
      </c>
    </row>
    <row r="8" ht="24" customHeight="1">
      <c r="A8" s="59" t="inlineStr">
        <is>
          <t>INV-2026-040</t>
        </is>
      </c>
      <c r="B8" s="60" t="inlineStr">
        <is>
          <t>Metricly</t>
        </is>
      </c>
      <c r="C8" s="61" t="inlineStr">
        <is>
          <t>2026-06-05</t>
        </is>
      </c>
      <c r="D8" s="50" t="n">
        <v>4750</v>
      </c>
      <c r="E8" s="69" t="inlineStr">
        <is>
          <t>Pending</t>
        </is>
      </c>
      <c r="F8" s="63" t="n">
        <v>6</v>
      </c>
      <c r="G8" s="61" t="inlineStr">
        <is>
          <t>NET 30</t>
        </is>
      </c>
    </row>
    <row r="9" ht="24" customHeight="1">
      <c r="A9" s="64" t="inlineStr">
        <is>
          <t>INV-2026-039</t>
        </is>
      </c>
      <c r="B9" s="65" t="inlineStr">
        <is>
          <t>SaaSync</t>
        </is>
      </c>
      <c r="C9" s="66" t="inlineStr">
        <is>
          <t>2026-05-15</t>
        </is>
      </c>
      <c r="D9" s="67" t="n">
        <v>3200</v>
      </c>
      <c r="E9" s="62" t="inlineStr">
        <is>
          <t>Paid</t>
        </is>
      </c>
      <c r="F9" s="68" t="n">
        <v>27</v>
      </c>
      <c r="G9" s="66" t="inlineStr">
        <is>
          <t>N/A</t>
        </is>
      </c>
    </row>
    <row r="10" ht="24" customHeight="1">
      <c r="A10" s="59" t="inlineStr">
        <is>
          <t>INV-2026-038</t>
        </is>
      </c>
      <c r="B10" s="60" t="inlineStr">
        <is>
          <t>FitTrack</t>
        </is>
      </c>
      <c r="C10" s="61" t="inlineStr">
        <is>
          <t>2026-05-01</t>
        </is>
      </c>
      <c r="D10" s="50" t="n">
        <v>5000</v>
      </c>
      <c r="E10" s="70" t="inlineStr">
        <is>
          <t>Overdue</t>
        </is>
      </c>
      <c r="F10" s="63" t="n">
        <v>41</v>
      </c>
      <c r="G10" s="61" t="inlineStr">
        <is>
          <t>NET 30</t>
        </is>
      </c>
    </row>
    <row r="11" ht="24" customHeight="1">
      <c r="A11" s="64" t="inlineStr">
        <is>
          <t>INV-2026-037</t>
        </is>
      </c>
      <c r="B11" s="65" t="inlineStr">
        <is>
          <t>Acme Corp</t>
        </is>
      </c>
      <c r="C11" s="66" t="inlineStr">
        <is>
          <t>2026-04-20</t>
        </is>
      </c>
      <c r="D11" s="67" t="n">
        <v>4250</v>
      </c>
      <c r="E11" s="62" t="inlineStr">
        <is>
          <t>Paid</t>
        </is>
      </c>
      <c r="F11" s="68" t="n">
        <v>52</v>
      </c>
      <c r="G11" s="66" t="inlineStr">
        <is>
          <t>N/A</t>
        </is>
      </c>
    </row>
    <row r="13" ht="28" customHeight="1">
      <c r="A13" s="71" t="inlineStr">
        <is>
          <t>TOTALS</t>
        </is>
      </c>
      <c r="B13" s="72" t="n"/>
      <c r="C13" s="72" t="n"/>
      <c r="D13" s="73">
        <f>SUM(D6:D11)</f>
        <v/>
      </c>
      <c r="E13" s="72" t="inlineStr"/>
      <c r="F13" s="72" t="inlineStr"/>
      <c r="G13" s="72" t="inlineStr"/>
    </row>
    <row r="15" ht="28" customHeight="1">
      <c r="A15" s="74" t="inlineStr">
        <is>
          <t>OUTSTANDING</t>
        </is>
      </c>
      <c r="B15" s="75" t="n"/>
      <c r="C15" s="75" t="n"/>
      <c r="D15" s="76">
        <f>SUMIF(E6:E11,"&lt;&gt;Paid",D6:D11)</f>
        <v/>
      </c>
      <c r="E15" s="75" t="inlineStr"/>
      <c r="F15" s="75" t="inlineStr"/>
      <c r="G15" s="75" t="inlineStr"/>
    </row>
  </sheetData>
  <mergeCells count="4">
    <mergeCell ref="A15:C15"/>
    <mergeCell ref="A2:G2"/>
    <mergeCell ref="A13:C13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DCAF0"/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28" customWidth="1" min="4" max="4"/>
    <col width="10" customWidth="1" min="5" max="5"/>
    <col width="10" customWidth="1" min="6" max="6"/>
    <col width="12" customWidth="1" min="7" max="7"/>
  </cols>
  <sheetData>
    <row r="1" ht="38" customHeight="1">
      <c r="A1" s="57" t="inlineStr">
        <is>
          <t>TIME TRACKER</t>
        </is>
      </c>
    </row>
    <row r="2" ht="18" customHeight="1">
      <c r="A2" s="21" t="inlineStr">
        <is>
          <t>Track billable hours and project time</t>
        </is>
      </c>
    </row>
    <row r="3" ht="4" customHeight="1">
      <c r="A3" s="77" t="n"/>
      <c r="B3" s="77" t="n"/>
      <c r="C3" s="77" t="n"/>
      <c r="D3" s="77" t="n"/>
      <c r="E3" s="77" t="n"/>
      <c r="F3" s="77" t="n"/>
    </row>
    <row r="4" ht="16" customHeight="1"/>
    <row r="5" ht="26" customHeight="1">
      <c r="A5" s="2" t="inlineStr">
        <is>
          <t>Date</t>
        </is>
      </c>
      <c r="B5" s="2" t="inlineStr">
        <is>
          <t>Project</t>
        </is>
      </c>
      <c r="C5" s="2" t="inlineStr">
        <is>
          <t>Client</t>
        </is>
      </c>
      <c r="D5" s="2" t="inlineStr">
        <is>
          <t>Description</t>
        </is>
      </c>
      <c r="E5" s="2" t="inlineStr">
        <is>
          <t>Hours</t>
        </is>
      </c>
      <c r="F5" s="2" t="inlineStr">
        <is>
          <t>Rate</t>
        </is>
      </c>
      <c r="G5" s="2" t="inlineStr">
        <is>
          <t>Value</t>
        </is>
      </c>
    </row>
    <row r="6" ht="24" customHeight="1">
      <c r="A6" s="61" t="inlineStr">
        <is>
          <t>2026-06-10</t>
        </is>
      </c>
      <c r="B6" s="59" t="inlineStr">
        <is>
          <t>Brand Refresh</t>
        </is>
      </c>
      <c r="C6" s="60" t="inlineStr">
        <is>
          <t>Acme Corp</t>
        </is>
      </c>
      <c r="D6" s="60" t="inlineStr">
        <is>
          <t>Logo refinement, color palette</t>
        </is>
      </c>
      <c r="E6" s="78" t="n">
        <v>2.5</v>
      </c>
      <c r="F6" s="79" t="n">
        <v>85</v>
      </c>
      <c r="G6" s="80">
        <f>E6*F6</f>
        <v/>
      </c>
    </row>
    <row r="7" ht="24" customHeight="1">
      <c r="A7" s="66" t="inlineStr">
        <is>
          <t>2026-06-10</t>
        </is>
      </c>
      <c r="B7" s="64" t="inlineStr">
        <is>
          <t>Client Calls</t>
        </is>
      </c>
      <c r="C7" s="65" t="inlineStr">
        <is>
          <t>Bloom</t>
        </is>
      </c>
      <c r="D7" s="65" t="inlineStr">
        <is>
          <t>Revision discussion</t>
        </is>
      </c>
      <c r="E7" s="81" t="n">
        <v>0.75</v>
      </c>
      <c r="F7" s="82" t="n">
        <v>85</v>
      </c>
      <c r="G7" s="83">
        <f>E7*F7</f>
        <v/>
      </c>
    </row>
    <row r="8" ht="24" customHeight="1">
      <c r="A8" s="61" t="inlineStr">
        <is>
          <t>2026-06-10</t>
        </is>
      </c>
      <c r="B8" s="59" t="inlineStr">
        <is>
          <t>Website Redesign</t>
        </is>
      </c>
      <c r="C8" s="60" t="inlineStr">
        <is>
          <t>Bloom</t>
        </is>
      </c>
      <c r="D8" s="60" t="inlineStr">
        <is>
          <t>Homepage mockups v3</t>
        </is>
      </c>
      <c r="E8" s="78" t="n">
        <v>1.25</v>
      </c>
      <c r="F8" s="79" t="n">
        <v>85</v>
      </c>
      <c r="G8" s="80">
        <f>E8*F8</f>
        <v/>
      </c>
    </row>
    <row r="9" ht="24" customHeight="1">
      <c r="A9" s="66" t="inlineStr">
        <is>
          <t>2026-06-09</t>
        </is>
      </c>
      <c r="B9" s="64" t="inlineStr">
        <is>
          <t>Brand Refresh</t>
        </is>
      </c>
      <c r="C9" s="65" t="inlineStr">
        <is>
          <t>Acme Corp</t>
        </is>
      </c>
      <c r="D9" s="65" t="inlineStr">
        <is>
          <t>Brand guidelines draft</t>
        </is>
      </c>
      <c r="E9" s="81" t="n">
        <v>3</v>
      </c>
      <c r="F9" s="82" t="n">
        <v>85</v>
      </c>
      <c r="G9" s="83">
        <f>E9*F9</f>
        <v/>
      </c>
    </row>
    <row r="10" ht="24" customHeight="1">
      <c r="A10" s="61" t="inlineStr">
        <is>
          <t>2026-06-09</t>
        </is>
      </c>
      <c r="B10" s="59" t="inlineStr">
        <is>
          <t>App UI</t>
        </is>
      </c>
      <c r="C10" s="60" t="inlineStr">
        <is>
          <t>FitTrack</t>
        </is>
      </c>
      <c r="D10" s="60" t="inlineStr">
        <is>
          <t>Wireframes review</t>
        </is>
      </c>
      <c r="E10" s="78" t="n">
        <v>2</v>
      </c>
      <c r="F10" s="79" t="n">
        <v>85</v>
      </c>
      <c r="G10" s="80">
        <f>E10*F10</f>
        <v/>
      </c>
    </row>
    <row r="12" ht="28" customHeight="1">
      <c r="A12" s="71" t="inlineStr">
        <is>
          <t>TOTALS</t>
        </is>
      </c>
      <c r="B12" s="72" t="n"/>
      <c r="C12" s="72" t="n"/>
      <c r="D12" s="72" t="n"/>
      <c r="E12" s="84">
        <f>SUM(E6:E10)</f>
        <v/>
      </c>
      <c r="F12" s="72" t="inlineStr"/>
      <c r="G12" s="85">
        <f>SUM(G6:G10)</f>
        <v/>
      </c>
    </row>
  </sheetData>
  <mergeCells count="3">
    <mergeCell ref="A2:F2"/>
    <mergeCell ref="A12:D1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107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38" customHeight="1">
      <c r="A1" s="57" t="inlineStr">
        <is>
          <t>GOALS</t>
        </is>
      </c>
    </row>
    <row r="2" ht="18" customHeight="1">
      <c r="A2" s="21" t="inlineStr">
        <is>
          <t>Annual and monthly targets</t>
        </is>
      </c>
    </row>
    <row r="3" ht="4" customHeight="1">
      <c r="A3" s="86" t="n"/>
      <c r="B3" s="86" t="n"/>
      <c r="C3" s="86" t="n"/>
      <c r="D3" s="86" t="n"/>
      <c r="E3" s="86" t="n"/>
      <c r="F3" s="86" t="n"/>
    </row>
    <row r="4" ht="16" customHeight="1"/>
    <row r="5" ht="28" customHeight="1">
      <c r="A5" s="38" t="inlineStr">
        <is>
          <t>Annual Revenue Goal</t>
        </is>
      </c>
      <c r="B5" s="39" t="n"/>
      <c r="C5" s="40" t="n"/>
      <c r="D5" s="38" t="inlineStr">
        <is>
          <t>Monthly Targets</t>
        </is>
      </c>
      <c r="E5" s="39" t="n"/>
      <c r="F5" s="40" t="n"/>
    </row>
    <row r="6" ht="24" customHeight="1">
      <c r="A6" s="55" t="inlineStr">
        <is>
          <t>Annual Target</t>
        </is>
      </c>
      <c r="B6" s="87" t="n">
        <v>120000</v>
      </c>
      <c r="C6" s="34" t="inlineStr"/>
      <c r="D6" s="45" t="inlineStr">
        <is>
          <t>Metric</t>
        </is>
      </c>
      <c r="E6" s="45" t="inlineStr">
        <is>
          <t>Target</t>
        </is>
      </c>
      <c r="F6" s="45" t="inlineStr">
        <is>
          <t>Current</t>
        </is>
      </c>
      <c r="G6" s="45" t="inlineStr">
        <is>
          <t>Progress</t>
        </is>
      </c>
    </row>
    <row r="7" ht="24" customHeight="1">
      <c r="A7" s="88" t="inlineStr">
        <is>
          <t>Current Revenue</t>
        </is>
      </c>
      <c r="B7" s="89">
        <f>SUM(Data!D3:D7)</f>
        <v/>
      </c>
      <c r="C7" s="90" t="inlineStr"/>
      <c r="D7" s="88" t="inlineStr">
        <is>
          <t>Revenue</t>
        </is>
      </c>
      <c r="E7" s="91" t="n">
        <v>15000</v>
      </c>
      <c r="F7" s="92" t="n">
        <v>12700</v>
      </c>
      <c r="G7" s="93">
        <f>F7/E7</f>
        <v/>
      </c>
    </row>
    <row r="8" ht="24" customHeight="1">
      <c r="A8" s="55" t="inlineStr">
        <is>
          <t>Progress</t>
        </is>
      </c>
      <c r="B8" s="94">
        <f>B7/B6</f>
        <v/>
      </c>
      <c r="C8" s="34" t="inlineStr"/>
      <c r="D8" s="55" t="inlineStr">
        <is>
          <t>Hours</t>
        </is>
      </c>
      <c r="E8" s="95" t="n">
        <v>150</v>
      </c>
      <c r="F8" s="96" t="n">
        <v>135</v>
      </c>
      <c r="G8" s="97">
        <f>F8/E8</f>
        <v/>
      </c>
    </row>
    <row r="9" ht="24" customHeight="1">
      <c r="A9" s="88" t="inlineStr">
        <is>
          <t>Remaining</t>
        </is>
      </c>
      <c r="B9" s="89">
        <f>B6-B7</f>
        <v/>
      </c>
      <c r="C9" s="90" t="inlineStr"/>
      <c r="D9" s="88" t="inlineStr">
        <is>
          <t>New Clients</t>
        </is>
      </c>
      <c r="E9" s="91" t="n">
        <v>2</v>
      </c>
      <c r="F9" s="92" t="n">
        <v>1</v>
      </c>
      <c r="G9" s="93">
        <f>F9/E9</f>
        <v/>
      </c>
    </row>
    <row r="10" ht="24" customHeight="1">
      <c r="A10" s="98" t="inlineStr">
        <is>
          <t>On Track</t>
        </is>
      </c>
      <c r="B10" s="99" t="n"/>
      <c r="C10" s="99" t="n"/>
      <c r="D10" s="55" t="inlineStr">
        <is>
          <t>Proposals</t>
        </is>
      </c>
      <c r="E10" s="95" t="n">
        <v>4</v>
      </c>
      <c r="F10" s="96" t="n">
        <v>4</v>
      </c>
      <c r="G10" s="97">
        <f>F10/E10</f>
        <v/>
      </c>
    </row>
  </sheetData>
  <mergeCells count="5">
    <mergeCell ref="A10:C10"/>
    <mergeCell ref="A2:F2"/>
    <mergeCell ref="D5:F5"/>
    <mergeCell ref="A5:C5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2026-06-10T23:49:54Z</dcterms:created>
  <dcterms:modified xsi:type="dcterms:W3CDTF">2026-06-10T23:49:54Z</dcterms:modified>
</cp:coreProperties>
</file>