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Dashboard" sheetId="2" state="visible" r:id="rId2"/>
    <sheet name="Budget" sheetId="3" state="visible" r:id="rId3"/>
    <sheet name="Guests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Calibri"/>
      <b val="1"/>
      <color rgb="002D2D2D"/>
      <sz val="14"/>
    </font>
    <font>
      <name val="Calibri"/>
      <b val="1"/>
      <color rgb="00FFFFFF"/>
      <sz val="10"/>
    </font>
    <font>
      <name val="Calibri"/>
      <color rgb="002D2D2D"/>
      <sz val="10"/>
    </font>
    <font>
      <name val="Calibri"/>
      <color rgb="008B7355"/>
      <sz val="10"/>
    </font>
    <font>
      <name val="Calibri"/>
      <b val="1"/>
      <color rgb="002D2D2D"/>
      <sz val="10"/>
    </font>
    <font>
      <name val="Calibri"/>
      <b val="1"/>
      <color rgb="00155724"/>
      <sz val="10"/>
    </font>
    <font>
      <name val="Calibri"/>
      <b val="1"/>
      <color rgb="00856404"/>
      <sz val="10"/>
    </font>
    <font>
      <name val="Calibri"/>
      <b val="1"/>
      <color rgb="000C5460"/>
      <sz val="10"/>
    </font>
    <font>
      <name val="Calibri"/>
      <b val="1"/>
      <color rgb="008B7355"/>
      <sz val="10"/>
    </font>
    <font>
      <name val="Calibri"/>
      <b val="1"/>
      <color rgb="005D2E46"/>
      <sz val="24"/>
    </font>
    <font>
      <name val="Calibri"/>
      <i val="1"/>
      <color rgb="00B87D6D"/>
      <sz val="11"/>
    </font>
    <font>
      <name val="Calibri"/>
      <b val="1"/>
      <color rgb="005D2E46"/>
      <sz val="9"/>
    </font>
    <font>
      <name val="Calibri"/>
      <b val="1"/>
      <color rgb="005D2E46"/>
      <sz val="20"/>
    </font>
    <font>
      <name val="Calibri"/>
      <color rgb="008B7355"/>
      <sz val="9"/>
    </font>
    <font>
      <name val="Calibri"/>
      <b val="1"/>
      <color rgb="00B87D6D"/>
      <sz val="9"/>
    </font>
    <font>
      <name val="Calibri"/>
      <b val="1"/>
      <color rgb="00D4A5A5"/>
      <sz val="9"/>
    </font>
    <font>
      <name val="Calibri"/>
      <b val="1"/>
      <color rgb="00E8D5C4"/>
      <sz val="9"/>
    </font>
    <font>
      <name val="Calibri"/>
      <b val="1"/>
      <color rgb="005D2E46"/>
      <sz val="12"/>
    </font>
    <font>
      <name val="Calibri"/>
      <b val="1"/>
      <color rgb="005D2E46"/>
      <sz val="16"/>
    </font>
    <font>
      <name val="Calibri"/>
      <b val="1"/>
      <color rgb="00FFFFFF"/>
      <sz val="9"/>
    </font>
    <font>
      <name val="Calibri"/>
      <b val="1"/>
      <color rgb="00856404"/>
      <sz val="9"/>
    </font>
    <font>
      <name val="Calibri"/>
      <b val="1"/>
      <color rgb="000C5460"/>
      <sz val="9"/>
    </font>
    <font>
      <name val="Calibri"/>
      <b val="1"/>
      <color rgb="00FFFFFF"/>
      <sz val="11"/>
    </font>
    <font>
      <name val="Calibri"/>
      <b val="1"/>
      <color rgb="005D2E46"/>
      <sz val="10"/>
    </font>
  </fonts>
  <fills count="11">
    <fill>
      <patternFill/>
    </fill>
    <fill>
      <patternFill patternType="gray125"/>
    </fill>
    <fill>
      <patternFill patternType="solid">
        <fgColor rgb="00F5EBE0"/>
        <bgColor rgb="00F5EBE0"/>
      </patternFill>
    </fill>
    <fill>
      <patternFill patternType="solid">
        <fgColor rgb="005D2E46"/>
        <bgColor rgb="005D2E46"/>
      </patternFill>
    </fill>
    <fill>
      <patternFill patternType="solid">
        <fgColor rgb="00D4EDDA"/>
        <bgColor rgb="00D4EDDA"/>
      </patternFill>
    </fill>
    <fill>
      <patternFill patternType="solid">
        <fgColor rgb="00FFF8F5"/>
        <bgColor rgb="00FFF8F5"/>
      </patternFill>
    </fill>
    <fill>
      <patternFill patternType="solid">
        <fgColor rgb="00FFFFFF"/>
        <bgColor rgb="00FFFFFF"/>
      </patternFill>
    </fill>
    <fill>
      <patternFill patternType="solid">
        <fgColor rgb="00FFF3CD"/>
        <bgColor rgb="00FFF3CD"/>
      </patternFill>
    </fill>
    <fill>
      <patternFill patternType="solid">
        <fgColor rgb="00D1ECF1"/>
        <bgColor rgb="00D1ECF1"/>
      </patternFill>
    </fill>
    <fill>
      <patternFill patternType="solid">
        <fgColor rgb="00B87D6D"/>
        <bgColor rgb="00B87D6D"/>
      </patternFill>
    </fill>
    <fill>
      <patternFill patternType="solid">
        <fgColor rgb="00D4A5A5"/>
        <bgColor rgb="00D4A5A5"/>
      </patternFill>
    </fill>
  </fills>
  <borders count="20">
    <border>
      <left/>
      <right/>
      <top/>
      <bottom/>
      <diagonal/>
    </border>
    <border>
      <bottom style="thin">
        <color rgb="00E8D5C4"/>
      </bottom>
    </border>
    <border>
      <left style="medium">
        <color rgb="005D2E46"/>
      </left>
      <top style="thin">
        <color rgb="00E8D5C4"/>
      </top>
    </border>
    <border>
      <right style="thin">
        <color rgb="00E8D5C4"/>
      </right>
      <top style="thin">
        <color rgb="00E8D5C4"/>
      </top>
    </border>
    <border>
      <left style="medium">
        <color rgb="005D2E46"/>
      </left>
    </border>
    <border>
      <right style="thin">
        <color rgb="00E8D5C4"/>
      </right>
    </border>
    <border>
      <left style="medium">
        <color rgb="005D2E46"/>
      </left>
      <bottom style="thin">
        <color rgb="00E8D5C4"/>
      </bottom>
    </border>
    <border>
      <right style="thin">
        <color rgb="00E8D5C4"/>
      </right>
      <bottom style="thin">
        <color rgb="00E8D5C4"/>
      </bottom>
    </border>
    <border>
      <left style="medium">
        <color rgb="00B87D6D"/>
      </left>
      <top style="thin">
        <color rgb="00E8D5C4"/>
      </top>
    </border>
    <border>
      <left style="medium">
        <color rgb="00B87D6D"/>
      </left>
    </border>
    <border>
      <left style="medium">
        <color rgb="00B87D6D"/>
      </left>
      <bottom style="thin">
        <color rgb="00E8D5C4"/>
      </bottom>
    </border>
    <border>
      <left style="medium">
        <color rgb="00D4A5A5"/>
      </left>
      <top style="thin">
        <color rgb="00E8D5C4"/>
      </top>
    </border>
    <border>
      <left style="medium">
        <color rgb="00D4A5A5"/>
      </left>
    </border>
    <border>
      <left style="medium">
        <color rgb="00D4A5A5"/>
      </left>
      <bottom style="thin">
        <color rgb="00E8D5C4"/>
      </bottom>
    </border>
    <border>
      <left style="medium">
        <color rgb="00E8D5C4"/>
      </left>
      <top style="thin">
        <color rgb="00E8D5C4"/>
      </top>
    </border>
    <border>
      <left style="medium">
        <color rgb="00E8D5C4"/>
      </left>
    </border>
    <border>
      <left style="medium">
        <color rgb="00E8D5C4"/>
      </left>
      <bottom style="thin">
        <color rgb="00E8D5C4"/>
      </bottom>
    </border>
    <border>
      <left style="thin">
        <color rgb="00E8D5C4"/>
      </left>
      <top style="thin">
        <color rgb="00E8D5C4"/>
      </top>
    </border>
    <border>
      <top style="thin">
        <color rgb="00E8D5C4"/>
      </top>
    </border>
    <border>
      <left style="thin">
        <color rgb="00E8D5C4"/>
      </left>
      <bottom style="thin">
        <color rgb="00E8D5C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1" pivotButton="0" quotePrefix="0" xfId="0"/>
    <xf numFmtId="0" fontId="4" fillId="5" borderId="1" pivotButton="0" quotePrefix="0" xfId="0"/>
    <xf numFmtId="164" fontId="5" fillId="5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164" fontId="5" fillId="6" borderId="1" applyAlignment="1" pivotButton="0" quotePrefix="0" xfId="0">
      <alignment horizontal="right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4" fontId="3" fillId="5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9" borderId="0" pivotButton="0" quotePrefix="0" xfId="0"/>
    <xf numFmtId="0" fontId="12" fillId="6" borderId="2" applyAlignment="1" pivotButton="0" quotePrefix="0" xfId="0">
      <alignment horizontal="left" vertical="bottom"/>
    </xf>
    <xf numFmtId="0" fontId="0" fillId="6" borderId="3" pivotButton="0" quotePrefix="0" xfId="0"/>
    <xf numFmtId="0" fontId="15" fillId="6" borderId="8" applyAlignment="1" pivotButton="0" quotePrefix="0" xfId="0">
      <alignment horizontal="left" vertical="bottom"/>
    </xf>
    <xf numFmtId="0" fontId="16" fillId="6" borderId="11" applyAlignment="1" pivotButton="0" quotePrefix="0" xfId="0">
      <alignment horizontal="left" vertical="bottom"/>
    </xf>
    <xf numFmtId="0" fontId="17" fillId="6" borderId="14" applyAlignment="1" pivotButton="0" quotePrefix="0" xfId="0">
      <alignment horizontal="left" vertical="bottom"/>
    </xf>
    <xf numFmtId="164" fontId="13" fillId="6" borderId="4" applyAlignment="1" pivotButton="0" quotePrefix="0" xfId="0">
      <alignment horizontal="left" vertical="center"/>
    </xf>
    <xf numFmtId="0" fontId="0" fillId="6" borderId="5" pivotButton="0" quotePrefix="0" xfId="0"/>
    <xf numFmtId="164" fontId="13" fillId="6" borderId="9" applyAlignment="1" pivotButton="0" quotePrefix="0" xfId="0">
      <alignment horizontal="left" vertical="center"/>
    </xf>
    <xf numFmtId="164" fontId="13" fillId="6" borderId="12" applyAlignment="1" pivotButton="0" quotePrefix="0" xfId="0">
      <alignment horizontal="left" vertical="center"/>
    </xf>
    <xf numFmtId="9" fontId="13" fillId="6" borderId="15" applyAlignment="1" pivotButton="0" quotePrefix="0" xfId="0">
      <alignment horizontal="left" vertical="center"/>
    </xf>
    <xf numFmtId="0" fontId="14" fillId="6" borderId="6" applyAlignment="1" pivotButton="0" quotePrefix="0" xfId="0">
      <alignment horizontal="left" vertical="top"/>
    </xf>
    <xf numFmtId="0" fontId="0" fillId="6" borderId="7" pivotButton="0" quotePrefix="0" xfId="0"/>
    <xf numFmtId="0" fontId="14" fillId="6" borderId="10" applyAlignment="1" pivotButton="0" quotePrefix="0" xfId="0">
      <alignment horizontal="left" vertical="top"/>
    </xf>
    <xf numFmtId="0" fontId="14" fillId="6" borderId="13" applyAlignment="1" pivotButton="0" quotePrefix="0" xfId="0">
      <alignment horizontal="left" vertical="top"/>
    </xf>
    <xf numFmtId="0" fontId="14" fillId="6" borderId="16" applyAlignment="1" pivotButton="0" quotePrefix="0" xfId="0">
      <alignment horizontal="left" vertical="top"/>
    </xf>
    <xf numFmtId="0" fontId="18" fillId="2" borderId="17" applyAlignment="1" pivotButton="0" quotePrefix="0" xfId="0">
      <alignment horizontal="left" vertical="center"/>
    </xf>
    <xf numFmtId="0" fontId="0" fillId="2" borderId="18" pivotButton="0" quotePrefix="0" xfId="0"/>
    <xf numFmtId="0" fontId="0" fillId="2" borderId="3" pivotButton="0" quotePrefix="0" xfId="0"/>
    <xf numFmtId="0" fontId="3" fillId="6" borderId="19" applyAlignment="1" pivotButton="0" quotePrefix="0" xfId="0">
      <alignment horizontal="left" vertical="center"/>
    </xf>
    <xf numFmtId="0" fontId="18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0" fillId="3" borderId="0" applyAlignment="1" pivotButton="0" quotePrefix="0" xfId="0">
      <alignment horizontal="center" vertical="center"/>
    </xf>
    <xf numFmtId="0" fontId="3" fillId="5" borderId="19" applyAlignment="1" pivotButton="0" quotePrefix="0" xfId="0">
      <alignment horizontal="left" vertical="center"/>
    </xf>
    <xf numFmtId="0" fontId="18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7" pivotButton="0" quotePrefix="0" xfId="0"/>
    <xf numFmtId="164" fontId="5" fillId="5" borderId="1" applyAlignment="1" pivotButton="0" quotePrefix="0" xfId="0">
      <alignment horizontal="right" vertical="center"/>
    </xf>
    <xf numFmtId="0" fontId="21" fillId="7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5" fillId="2" borderId="19" applyAlignment="1" pivotButton="0" quotePrefix="0" xfId="0">
      <alignment horizontal="right" vertical="center"/>
    </xf>
    <xf numFmtId="0" fontId="0" fillId="2" borderId="1" pivotButton="0" quotePrefix="0" xfId="0"/>
    <xf numFmtId="164" fontId="18" fillId="2" borderId="7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0" fillId="2" borderId="0" pivotButton="0" quotePrefix="0" xfId="0"/>
    <xf numFmtId="164" fontId="19" fillId="2" borderId="19" applyAlignment="1" pivotButton="0" quotePrefix="0" xfId="0">
      <alignment horizontal="left" vertical="center"/>
    </xf>
    <xf numFmtId="0" fontId="0" fillId="2" borderId="7" pivotButton="0" quotePrefix="0" xfId="0"/>
    <xf numFmtId="0" fontId="13" fillId="0" borderId="0" applyAlignment="1" pivotButton="0" quotePrefix="0" xfId="0">
      <alignment horizontal="left" vertical="center"/>
    </xf>
    <xf numFmtId="0" fontId="0" fillId="10" borderId="0" pivotButton="0" quotePrefix="0" xfId="0"/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right" vertical="center"/>
    </xf>
    <xf numFmtId="9" fontId="3" fillId="6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9" fontId="3" fillId="5" borderId="1" applyAlignment="1" pivotButton="0" quotePrefix="0" xfId="0">
      <alignment horizontal="center" vertical="center"/>
    </xf>
    <xf numFmtId="0" fontId="23" fillId="3" borderId="0" applyAlignment="1" pivotButton="0" quotePrefix="0" xfId="0">
      <alignment horizontal="center" vertical="center"/>
    </xf>
    <xf numFmtId="0" fontId="0" fillId="3" borderId="0" pivotButton="0" quotePrefix="0" xfId="0"/>
    <xf numFmtId="164" fontId="23" fillId="3" borderId="0" applyAlignment="1" pivotButton="0" quotePrefix="0" xfId="0">
      <alignment horizontal="right" vertical="center"/>
    </xf>
    <xf numFmtId="9" fontId="23" fillId="3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6" borderId="7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7D6D"/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24" customWidth="1" min="4" max="4"/>
    <col width="12" customWidth="1" min="5" max="5"/>
    <col width="14" customWidth="1" min="6" max="6"/>
  </cols>
  <sheetData>
    <row r="1" ht="28" customHeight="1">
      <c r="A1" s="1" t="inlineStr">
        <is>
          <t>BUDGET</t>
        </is>
      </c>
    </row>
    <row r="2" ht="24" customHeight="1">
      <c r="A2" s="2" t="inlineStr">
        <is>
          <t>Category</t>
        </is>
      </c>
      <c r="B2" s="2" t="inlineStr">
        <is>
          <t>Details</t>
        </is>
      </c>
      <c r="C2" s="2" t="inlineStr">
        <is>
          <t>Budget</t>
        </is>
      </c>
      <c r="D2" s="2" t="inlineStr">
        <is>
          <t>Spent</t>
        </is>
      </c>
      <c r="E2" s="2" t="inlineStr">
        <is>
          <t>Vendor</t>
        </is>
      </c>
      <c r="F2" s="2" t="inlineStr">
        <is>
          <t>Status</t>
        </is>
      </c>
    </row>
    <row r="3" ht="22" customHeight="1">
      <c r="A3" s="3" t="inlineStr">
        <is>
          <t>Venue &amp; Rentals</t>
        </is>
      </c>
      <c r="B3" s="4" t="inlineStr">
        <is>
          <t>Grandview Estate, chairs, tables, linens</t>
        </is>
      </c>
      <c r="C3" s="5" t="n">
        <v>15000</v>
      </c>
      <c r="D3" s="5" t="n">
        <v>15000</v>
      </c>
      <c r="E3" s="4" t="inlineStr">
        <is>
          <t>Grandview Estate</t>
        </is>
      </c>
      <c r="F3" s="6" t="inlineStr">
        <is>
          <t>Booked</t>
        </is>
      </c>
    </row>
    <row r="4" ht="22" customHeight="1">
      <c r="A4" s="7" t="inlineStr">
        <is>
          <t>Catering &amp; Bar</t>
        </is>
      </c>
      <c r="B4" s="8" t="inlineStr">
        <is>
          <t>$105 per person × 142 guests</t>
        </is>
      </c>
      <c r="C4" s="9" t="n">
        <v>15000</v>
      </c>
      <c r="D4" s="9" t="n">
        <v>14910</v>
      </c>
      <c r="E4" s="8" t="inlineStr">
        <is>
          <t>Harvest Table</t>
        </is>
      </c>
      <c r="F4" s="6" t="inlineStr">
        <is>
          <t>Booked</t>
        </is>
      </c>
    </row>
    <row r="5" ht="22" customHeight="1">
      <c r="A5" s="3" t="inlineStr">
        <is>
          <t>Photography &amp; Video</t>
        </is>
      </c>
      <c r="B5" s="4" t="inlineStr">
        <is>
          <t>8 hours coverage, 2 shooters</t>
        </is>
      </c>
      <c r="C5" s="5" t="n">
        <v>6000</v>
      </c>
      <c r="D5" s="5" t="n">
        <v>4800</v>
      </c>
      <c r="E5" s="4" t="inlineStr">
        <is>
          <t>Lumiere Photo</t>
        </is>
      </c>
      <c r="F5" s="6" t="inlineStr">
        <is>
          <t>Booked</t>
        </is>
      </c>
    </row>
    <row r="6" ht="22" customHeight="1">
      <c r="A6" s="7" t="inlineStr">
        <is>
          <t>Florist &amp; Decor</t>
        </is>
      </c>
      <c r="B6" s="8" t="inlineStr">
        <is>
          <t>Bouquets, centerpieces, arch</t>
        </is>
      </c>
      <c r="C6" s="9" t="n">
        <v>4000</v>
      </c>
      <c r="D6" s="9" t="n">
        <v>3000</v>
      </c>
      <c r="E6" s="8" t="inlineStr">
        <is>
          <t>Petal &amp; Stem</t>
        </is>
      </c>
      <c r="F6" s="10" t="inlineStr">
        <is>
          <t>Pending</t>
        </is>
      </c>
    </row>
    <row r="7" ht="22" customHeight="1">
      <c r="A7" s="3" t="inlineStr">
        <is>
          <t>Music &amp; Entertainment</t>
        </is>
      </c>
      <c r="B7" s="4" t="inlineStr">
        <is>
          <t>DJ + live ceremony quartet</t>
        </is>
      </c>
      <c r="C7" s="5" t="n">
        <v>3000</v>
      </c>
      <c r="D7" s="5" t="n">
        <v>1800</v>
      </c>
      <c r="E7" s="4" t="inlineStr">
        <is>
          <t>Soundwave DJs</t>
        </is>
      </c>
      <c r="F7" s="11" t="inlineStr">
        <is>
          <t>Quoted</t>
        </is>
      </c>
    </row>
    <row r="8" ht="22" customHeight="1">
      <c r="A8" s="7" t="inlineStr">
        <is>
          <t>Attire &amp; Beauty</t>
        </is>
      </c>
      <c r="B8" s="8" t="inlineStr">
        <is>
          <t>Dress, suit, alterations, hair &amp; makeup</t>
        </is>
      </c>
      <c r="C8" s="9" t="n">
        <v>3000</v>
      </c>
      <c r="D8" s="9" t="n">
        <v>2700</v>
      </c>
      <c r="E8" s="8" t="inlineStr">
        <is>
          <t>N/A</t>
        </is>
      </c>
      <c r="F8" s="10" t="inlineStr">
        <is>
          <t>In Progress</t>
        </is>
      </c>
    </row>
    <row r="9" ht="22" customHeight="1">
      <c r="A9" s="3" t="inlineStr">
        <is>
          <t>Stationery &amp; Gifts</t>
        </is>
      </c>
      <c r="B9" s="4" t="inlineStr">
        <is>
          <t>Invites, programs, favors</t>
        </is>
      </c>
      <c r="C9" s="5" t="n">
        <v>1300</v>
      </c>
      <c r="D9" s="5" t="n">
        <v>650</v>
      </c>
      <c r="E9" s="4" t="inlineStr">
        <is>
          <t>Paperie Co</t>
        </is>
      </c>
      <c r="F9" s="10" t="inlineStr">
        <is>
          <t>In Progress</t>
        </is>
      </c>
    </row>
    <row r="10" ht="22" customHeight="1">
      <c r="A10" s="7" t="inlineStr">
        <is>
          <t>Miscellaneous</t>
        </is>
      </c>
      <c r="B10" s="8" t="inlineStr">
        <is>
          <t>Tips, emergency fund, marriage license</t>
        </is>
      </c>
      <c r="C10" s="9" t="n">
        <v>1700</v>
      </c>
      <c r="D10" s="9" t="n">
        <v>490</v>
      </c>
      <c r="E10" s="8" t="inlineStr">
        <is>
          <t>N/A</t>
        </is>
      </c>
      <c r="F10" s="12" t="inlineStr">
        <is>
          <t>Open</t>
        </is>
      </c>
    </row>
    <row r="13" ht="28" customHeight="1">
      <c r="A13" s="1" t="inlineStr">
        <is>
          <t>GUESTS</t>
        </is>
      </c>
    </row>
    <row r="14" ht="24" customHeight="1">
      <c r="A14" s="2" t="inlineStr">
        <is>
          <t>Name</t>
        </is>
      </c>
      <c r="B14" s="2" t="inlineStr">
        <is>
          <t>Group</t>
        </is>
      </c>
      <c r="C14" s="2" t="inlineStr">
        <is>
          <t>Status</t>
        </is>
      </c>
      <c r="D14" s="2" t="inlineStr">
        <is>
          <t>Dietary</t>
        </is>
      </c>
      <c r="E14" s="2" t="inlineStr">
        <is>
          <t>Plus One</t>
        </is>
      </c>
      <c r="F14" s="2" t="inlineStr">
        <is>
          <t>Table</t>
        </is>
      </c>
    </row>
    <row r="15" ht="22" customHeight="1">
      <c r="A15" s="3" t="inlineStr">
        <is>
          <t>Eleanor &amp; Robert Whitfield</t>
        </is>
      </c>
      <c r="B15" s="13" t="inlineStr">
        <is>
          <t>Family</t>
        </is>
      </c>
      <c r="C15" s="6" t="inlineStr">
        <is>
          <t>Attending</t>
        </is>
      </c>
      <c r="D15" s="13" t="inlineStr">
        <is>
          <t>None</t>
        </is>
      </c>
      <c r="E15" s="13" t="inlineStr">
        <is>
          <t>Yes</t>
        </is>
      </c>
      <c r="F15" s="13" t="n">
        <v>1</v>
      </c>
    </row>
    <row r="16" ht="22" customHeight="1">
      <c r="A16" s="7" t="inlineStr">
        <is>
          <t>Marcus Chen</t>
        </is>
      </c>
      <c r="B16" s="14" t="inlineStr">
        <is>
          <t>Friend</t>
        </is>
      </c>
      <c r="C16" s="6" t="inlineStr">
        <is>
          <t>Attending</t>
        </is>
      </c>
      <c r="D16" s="14" t="inlineStr">
        <is>
          <t>Vegetarian</t>
        </is>
      </c>
      <c r="E16" s="14" t="inlineStr">
        <is>
          <t>No</t>
        </is>
      </c>
      <c r="F16" s="14" t="n">
        <v>3</v>
      </c>
    </row>
    <row r="17" ht="22" customHeight="1">
      <c r="A17" s="3" t="inlineStr">
        <is>
          <t>Alexandra Ross</t>
        </is>
      </c>
      <c r="B17" s="13" t="inlineStr">
        <is>
          <t>Friend</t>
        </is>
      </c>
      <c r="C17" s="6" t="inlineStr">
        <is>
          <t>Attending</t>
        </is>
      </c>
      <c r="D17" s="13" t="inlineStr">
        <is>
          <t>None</t>
        </is>
      </c>
      <c r="E17" s="13" t="inlineStr">
        <is>
          <t>No</t>
        </is>
      </c>
      <c r="F17" s="13" t="n">
        <v>3</v>
      </c>
    </row>
    <row r="18" ht="22" customHeight="1">
      <c r="A18" s="7" t="inlineStr">
        <is>
          <t>David &amp; Susan Park</t>
        </is>
      </c>
      <c r="B18" s="14" t="inlineStr">
        <is>
          <t>Family</t>
        </is>
      </c>
      <c r="C18" s="6" t="inlineStr">
        <is>
          <t>Attending</t>
        </is>
      </c>
      <c r="D18" s="14" t="inlineStr">
        <is>
          <t>Gluten-free</t>
        </is>
      </c>
      <c r="E18" s="14" t="inlineStr">
        <is>
          <t>Yes</t>
        </is>
      </c>
      <c r="F18" s="14" t="n">
        <v>2</v>
      </c>
    </row>
    <row r="19" ht="22" customHeight="1">
      <c r="A19" s="3" t="inlineStr">
        <is>
          <t>Jennifer Blake</t>
        </is>
      </c>
      <c r="B19" s="13" t="inlineStr">
        <is>
          <t>VIP</t>
        </is>
      </c>
      <c r="C19" s="6" t="inlineStr">
        <is>
          <t>Attending</t>
        </is>
      </c>
      <c r="D19" s="13" t="inlineStr">
        <is>
          <t>Vegan</t>
        </is>
      </c>
      <c r="E19" s="13" t="inlineStr">
        <is>
          <t>No</t>
        </is>
      </c>
      <c r="F19" s="13" t="n">
        <v>1</v>
      </c>
    </row>
    <row r="20" ht="22" customHeight="1">
      <c r="A20" s="7" t="inlineStr">
        <is>
          <t>Thomas &amp; Marie Laurent</t>
        </is>
      </c>
      <c r="B20" s="14" t="inlineStr">
        <is>
          <t>Family</t>
        </is>
      </c>
      <c r="C20" s="10" t="inlineStr">
        <is>
          <t>Declined</t>
        </is>
      </c>
      <c r="D20" s="14" t="inlineStr">
        <is>
          <t>—</t>
        </is>
      </c>
      <c r="E20" s="14" t="inlineStr">
        <is>
          <t>No</t>
        </is>
      </c>
      <c r="F20" s="14" t="inlineStr">
        <is>
          <t>—</t>
        </is>
      </c>
    </row>
    <row r="21" ht="22" customHeight="1">
      <c r="A21" s="3" t="inlineStr">
        <is>
          <t>Jordan Smith</t>
        </is>
      </c>
      <c r="B21" s="13" t="inlineStr">
        <is>
          <t>Friend</t>
        </is>
      </c>
      <c r="C21" s="11" t="inlineStr">
        <is>
          <t>Pending</t>
        </is>
      </c>
      <c r="D21" s="13" t="inlineStr">
        <is>
          <t>—</t>
        </is>
      </c>
      <c r="E21" s="13" t="inlineStr">
        <is>
          <t>No</t>
        </is>
      </c>
      <c r="F21" s="13" t="inlineStr">
        <is>
          <t>—</t>
        </is>
      </c>
    </row>
    <row r="22" ht="22" customHeight="1">
      <c r="A22" s="7" t="inlineStr">
        <is>
          <t>Sarah Johnson</t>
        </is>
      </c>
      <c r="B22" s="14" t="inlineStr">
        <is>
          <t>Friend</t>
        </is>
      </c>
      <c r="C22" s="6" t="inlineStr">
        <is>
          <t>Attending</t>
        </is>
      </c>
      <c r="D22" s="14" t="inlineStr">
        <is>
          <t>None</t>
        </is>
      </c>
      <c r="E22" s="14" t="inlineStr">
        <is>
          <t>Yes</t>
        </is>
      </c>
      <c r="F22" s="14" t="n">
        <v>4</v>
      </c>
    </row>
    <row r="23" ht="22" customHeight="1">
      <c r="A23" s="3" t="inlineStr">
        <is>
          <t>Mike &amp; Lisa Brown</t>
        </is>
      </c>
      <c r="B23" s="13" t="inlineStr">
        <is>
          <t>Family</t>
        </is>
      </c>
      <c r="C23" s="6" t="inlineStr">
        <is>
          <t>Attending</t>
        </is>
      </c>
      <c r="D23" s="13" t="inlineStr">
        <is>
          <t>None</t>
        </is>
      </c>
      <c r="E23" s="13" t="inlineStr">
        <is>
          <t>Yes</t>
        </is>
      </c>
      <c r="F23" s="13" t="n">
        <v>2</v>
      </c>
    </row>
    <row r="24" ht="22" customHeight="1">
      <c r="A24" s="7" t="inlineStr">
        <is>
          <t>Emily Chen</t>
        </is>
      </c>
      <c r="B24" s="14" t="inlineStr">
        <is>
          <t>Friend</t>
        </is>
      </c>
      <c r="C24" s="6" t="inlineStr">
        <is>
          <t>Attending</t>
        </is>
      </c>
      <c r="D24" s="14" t="inlineStr">
        <is>
          <t>Vegetarian</t>
        </is>
      </c>
      <c r="E24" s="14" t="inlineStr">
        <is>
          <t>No</t>
        </is>
      </c>
      <c r="F24" s="14" t="n">
        <v>3</v>
      </c>
    </row>
    <row r="27" ht="28" customHeight="1">
      <c r="A27" s="1" t="inlineStr">
        <is>
          <t>VENDORS</t>
        </is>
      </c>
    </row>
    <row r="28" ht="24" customHeight="1">
      <c r="A28" s="2" t="inlineStr">
        <is>
          <t>Vendor</t>
        </is>
      </c>
      <c r="B28" s="2" t="inlineStr">
        <is>
          <t>Type</t>
        </is>
      </c>
      <c r="C28" s="2" t="inlineStr">
        <is>
          <t>Status</t>
        </is>
      </c>
      <c r="D28" s="2" t="inlineStr">
        <is>
          <t>Contact</t>
        </is>
      </c>
      <c r="E28" s="2" t="inlineStr">
        <is>
          <t>Amount</t>
        </is>
      </c>
      <c r="F28" s="2" t="inlineStr">
        <is>
          <t>Deposit Paid</t>
        </is>
      </c>
    </row>
    <row r="29" ht="22" customHeight="1">
      <c r="A29" s="3" t="inlineStr">
        <is>
          <t>Grandview Estate</t>
        </is>
      </c>
      <c r="B29" s="13" t="inlineStr">
        <is>
          <t>Venue</t>
        </is>
      </c>
      <c r="C29" s="6" t="inlineStr">
        <is>
          <t>Booked</t>
        </is>
      </c>
      <c r="D29" s="4" t="inlineStr">
        <is>
          <t>estate@grandview.com</t>
        </is>
      </c>
      <c r="E29" s="5" t="n">
        <v>15000</v>
      </c>
      <c r="F29" s="15" t="n">
        <v>5000</v>
      </c>
    </row>
    <row r="30" ht="22" customHeight="1">
      <c r="A30" s="7" t="inlineStr">
        <is>
          <t>Lumiere Photography</t>
        </is>
      </c>
      <c r="B30" s="14" t="inlineStr">
        <is>
          <t>Photography</t>
        </is>
      </c>
      <c r="C30" s="6" t="inlineStr">
        <is>
          <t>Booked</t>
        </is>
      </c>
      <c r="D30" s="8" t="inlineStr">
        <is>
          <t>photo@lumiere.com</t>
        </is>
      </c>
      <c r="E30" s="9" t="n">
        <v>4800</v>
      </c>
      <c r="F30" s="16" t="n">
        <v>1200</v>
      </c>
    </row>
    <row r="31" ht="22" customHeight="1">
      <c r="A31" s="3" t="inlineStr">
        <is>
          <t>Harvest Table Catering</t>
        </is>
      </c>
      <c r="B31" s="13" t="inlineStr">
        <is>
          <t>Catering</t>
        </is>
      </c>
      <c r="C31" s="6" t="inlineStr">
        <is>
          <t>Booked</t>
        </is>
      </c>
      <c r="D31" s="4" t="inlineStr">
        <is>
          <t>chef@harvest.com</t>
        </is>
      </c>
      <c r="E31" s="5" t="n">
        <v>14910</v>
      </c>
      <c r="F31" s="15" t="n">
        <v>4500</v>
      </c>
    </row>
    <row r="32" ht="22" customHeight="1">
      <c r="A32" s="7" t="inlineStr">
        <is>
          <t>Petal &amp; Stem</t>
        </is>
      </c>
      <c r="B32" s="14" t="inlineStr">
        <is>
          <t>Florist</t>
        </is>
      </c>
      <c r="C32" s="10" t="inlineStr">
        <is>
          <t>Pending</t>
        </is>
      </c>
      <c r="D32" s="8" t="inlineStr">
        <is>
          <t>hello@petal.com</t>
        </is>
      </c>
      <c r="E32" s="9" t="n">
        <v>3000</v>
      </c>
      <c r="F32" s="16" t="n">
        <v>0</v>
      </c>
    </row>
    <row r="33" ht="22" customHeight="1">
      <c r="A33" s="3" t="inlineStr">
        <is>
          <t>Soundwave DJs</t>
        </is>
      </c>
      <c r="B33" s="13" t="inlineStr">
        <is>
          <t>Entertainment</t>
        </is>
      </c>
      <c r="C33" s="11" t="inlineStr">
        <is>
          <t>Quoted</t>
        </is>
      </c>
      <c r="D33" s="4" t="inlineStr">
        <is>
          <t>dj@soundwave.com</t>
        </is>
      </c>
      <c r="E33" s="5" t="n">
        <v>1800</v>
      </c>
      <c r="F33" s="15" t="n">
        <v>0</v>
      </c>
    </row>
    <row r="34" ht="22" customHeight="1">
      <c r="A34" s="7" t="inlineStr">
        <is>
          <t>Napa Classic Cars</t>
        </is>
      </c>
      <c r="B34" s="14" t="inlineStr">
        <is>
          <t>Transportation</t>
        </is>
      </c>
      <c r="C34" s="11" t="inlineStr">
        <is>
          <t>Quoted</t>
        </is>
      </c>
      <c r="D34" s="8" t="inlineStr">
        <is>
          <t>cars@napa.com</t>
        </is>
      </c>
      <c r="E34" s="9" t="n">
        <v>1200</v>
      </c>
      <c r="F34" s="16" t="n">
        <v>0</v>
      </c>
    </row>
  </sheetData>
  <mergeCells count="3">
    <mergeCell ref="A13:F13"/>
    <mergeCell ref="A1:F1"/>
    <mergeCell ref="A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7D6D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4" customWidth="1" min="3" max="3"/>
    <col width="16" customWidth="1" min="4" max="4"/>
    <col width="4" customWidth="1" min="5" max="5"/>
    <col width="16" customWidth="1" min="6" max="6"/>
    <col width="4" customWidth="1" min="7" max="7"/>
    <col width="16" customWidth="1" min="8" max="8"/>
  </cols>
  <sheetData>
    <row r="1" ht="42" customHeight="1">
      <c r="A1" s="17" t="inlineStr">
        <is>
          <t>EverAfter</t>
        </is>
      </c>
    </row>
    <row r="2" ht="18" customHeight="1">
      <c r="A2" s="18" t="inlineStr">
        <is>
          <t>Sarah &amp; James  |  June 14, 2026  |  Grandview Estate, Napa Valley</t>
        </is>
      </c>
    </row>
    <row r="3" ht="4" customHeight="1">
      <c r="A3" s="19" t="n"/>
      <c r="B3" s="19" t="n"/>
      <c r="C3" s="19" t="n"/>
      <c r="D3" s="19" t="n"/>
      <c r="E3" s="19" t="n"/>
      <c r="F3" s="19" t="n"/>
      <c r="G3" s="19" t="n"/>
      <c r="H3" s="19" t="n"/>
    </row>
    <row r="4" ht="16" customHeight="1"/>
    <row r="5" ht="20" customHeight="1">
      <c r="A5" s="20" t="inlineStr">
        <is>
          <t>TOTAL BUDGET</t>
        </is>
      </c>
      <c r="B5" s="21" t="n"/>
      <c r="C5" s="22" t="inlineStr">
        <is>
          <t>SPENT</t>
        </is>
      </c>
      <c r="D5" s="21" t="n"/>
      <c r="E5" s="23" t="inlineStr">
        <is>
          <t>REMAINING</t>
        </is>
      </c>
      <c r="F5" s="21" t="n"/>
      <c r="G5" s="24" t="inlineStr">
        <is>
          <t>PAID %</t>
        </is>
      </c>
      <c r="H5" s="21" t="n"/>
    </row>
    <row r="6" ht="38" customHeight="1">
      <c r="A6" s="25">
        <f>SUM(Data!C3:C10)</f>
        <v/>
      </c>
      <c r="B6" s="26" t="n"/>
      <c r="C6" s="27">
        <f>SUM(Data!D3:D10)</f>
        <v/>
      </c>
      <c r="D6" s="26" t="n"/>
      <c r="E6" s="28">
        <f>B6-B7</f>
        <v/>
      </c>
      <c r="F6" s="26" t="n"/>
      <c r="G6" s="29">
        <f>B7/B6</f>
        <v/>
      </c>
      <c r="H6" s="26" t="n"/>
    </row>
    <row r="7" ht="18" customHeight="1">
      <c r="A7" s="30" t="inlineStr">
        <is>
          <t>All categories</t>
        </is>
      </c>
      <c r="B7" s="31" t="n"/>
      <c r="C7" s="32" t="inlineStr">
        <is>
          <t>Committed funds</t>
        </is>
      </c>
      <c r="D7" s="31" t="n"/>
      <c r="E7" s="33" t="inlineStr">
        <is>
          <t>Available to spend</t>
        </is>
      </c>
      <c r="F7" s="31" t="n"/>
      <c r="G7" s="34" t="inlineStr">
        <is>
          <t>Of total budget</t>
        </is>
      </c>
      <c r="H7" s="31" t="n"/>
    </row>
    <row r="8" ht="16" customHeight="1"/>
    <row r="9" ht="28" customHeight="1">
      <c r="A9" s="35" t="inlineStr">
        <is>
          <t>Guest Summary</t>
        </is>
      </c>
      <c r="B9" s="36" t="n"/>
      <c r="C9" s="36" t="n"/>
      <c r="D9" s="37" t="n"/>
      <c r="E9" s="35" t="inlineStr">
        <is>
          <t>Upcoming Payments</t>
        </is>
      </c>
      <c r="F9" s="36" t="n"/>
      <c r="G9" s="36" t="n"/>
      <c r="H9" s="37" t="n"/>
    </row>
    <row r="10" ht="22" customHeight="1">
      <c r="A10" s="38" t="inlineStr">
        <is>
          <t>Total Invited</t>
        </is>
      </c>
      <c r="B10" s="39">
        <f>COUNTA(Data!A14:A23)</f>
        <v/>
      </c>
      <c r="C10" s="40" t="n"/>
      <c r="D10" s="31" t="inlineStr"/>
      <c r="E10" s="41" t="inlineStr">
        <is>
          <t>Vendor</t>
        </is>
      </c>
      <c r="F10" s="41" t="inlineStr">
        <is>
          <t>Amount</t>
        </is>
      </c>
      <c r="G10" s="41" t="inlineStr">
        <is>
          <t>Status</t>
        </is>
      </c>
    </row>
    <row r="11" ht="24" customHeight="1">
      <c r="A11" s="42" t="inlineStr">
        <is>
          <t>Attending</t>
        </is>
      </c>
      <c r="B11" s="43">
        <f>COUNTIF(Data!C14:C23,"Attending")</f>
        <v/>
      </c>
      <c r="C11" s="44" t="n"/>
      <c r="D11" s="45" t="inlineStr"/>
      <c r="E11" s="42" t="inlineStr">
        <is>
          <t>Petal &amp; Stem</t>
        </is>
      </c>
      <c r="F11" s="46">
        <f>Data!E6</f>
        <v/>
      </c>
      <c r="G11" s="47" t="inlineStr">
        <is>
          <t>Pending</t>
        </is>
      </c>
      <c r="H11" s="45" t="inlineStr"/>
    </row>
    <row r="12" ht="24" customHeight="1">
      <c r="A12" s="38" t="inlineStr">
        <is>
          <t>Declined</t>
        </is>
      </c>
      <c r="B12" s="39">
        <f>COUNTIF(Data!C14:C23,"Declined")</f>
        <v/>
      </c>
      <c r="C12" s="40" t="n"/>
      <c r="D12" s="31" t="inlineStr"/>
      <c r="E12" s="38" t="inlineStr">
        <is>
          <t>Soundwave DJs</t>
        </is>
      </c>
      <c r="F12" s="48">
        <f>Data!E7</f>
        <v/>
      </c>
      <c r="G12" s="49" t="inlineStr">
        <is>
          <t>Quoted</t>
        </is>
      </c>
      <c r="H12" s="31" t="inlineStr"/>
    </row>
    <row r="13" ht="24" customHeight="1">
      <c r="A13" s="42" t="inlineStr">
        <is>
          <t>Pending</t>
        </is>
      </c>
      <c r="B13" s="43">
        <f>COUNTIF(Data!C14:C23,"Pending")</f>
        <v/>
      </c>
      <c r="C13" s="44" t="n"/>
      <c r="D13" s="45" t="inlineStr"/>
      <c r="E13" s="42" t="inlineStr">
        <is>
          <t>Napa Classic Cars</t>
        </is>
      </c>
      <c r="F13" s="46">
        <f>Data!E8</f>
        <v/>
      </c>
      <c r="G13" s="49" t="inlineStr">
        <is>
          <t>Quoted</t>
        </is>
      </c>
      <c r="H13" s="45" t="inlineStr"/>
    </row>
    <row r="14" ht="28" customHeight="1">
      <c r="A14" s="38" t="inlineStr">
        <is>
          <t>With Plus Ones</t>
        </is>
      </c>
      <c r="B14" s="39">
        <f>COUNTIF(Data!E14:E23,"Yes")</f>
        <v/>
      </c>
      <c r="C14" s="40" t="n"/>
      <c r="D14" s="31" t="inlineStr"/>
      <c r="E14" s="50" t="inlineStr">
        <is>
          <t>Remaining to Book</t>
        </is>
      </c>
      <c r="F14" s="51" t="n"/>
      <c r="G14" s="51" t="n"/>
      <c r="H14" s="52">
        <f>SUM(F11:F13)</f>
        <v/>
      </c>
    </row>
    <row r="15">
      <c r="A15" s="53" t="inlineStr">
        <is>
          <t>Cost Per Head</t>
        </is>
      </c>
      <c r="B15" s="54" t="n"/>
      <c r="C15" s="54" t="n"/>
      <c r="D15" s="54" t="n"/>
    </row>
    <row r="16" ht="32" customHeight="1">
      <c r="A16" s="55">
        <f>B7/B11</f>
        <v/>
      </c>
      <c r="B16" s="51" t="n"/>
      <c r="C16" s="51" t="n"/>
      <c r="D16" s="56" t="n"/>
    </row>
  </sheetData>
  <mergeCells count="24">
    <mergeCell ref="C6:D6"/>
    <mergeCell ref="C5:D5"/>
    <mergeCell ref="E5:F5"/>
    <mergeCell ref="A1:H1"/>
    <mergeCell ref="A6:B6"/>
    <mergeCell ref="B12:C12"/>
    <mergeCell ref="A9:D9"/>
    <mergeCell ref="A7:B7"/>
    <mergeCell ref="G7:H7"/>
    <mergeCell ref="B11:C11"/>
    <mergeCell ref="A15:D15"/>
    <mergeCell ref="B14:C14"/>
    <mergeCell ref="G6:H6"/>
    <mergeCell ref="B13:C13"/>
    <mergeCell ref="E6:F6"/>
    <mergeCell ref="A2:H2"/>
    <mergeCell ref="B10:C10"/>
    <mergeCell ref="A5:B5"/>
    <mergeCell ref="G5:H5"/>
    <mergeCell ref="A16:D16"/>
    <mergeCell ref="E9:H9"/>
    <mergeCell ref="C7:D7"/>
    <mergeCell ref="E14:G14"/>
    <mergeCell ref="E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5A5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2" customWidth="1" min="3" max="3"/>
    <col width="12" customWidth="1" min="4" max="4"/>
    <col width="12" customWidth="1" min="5" max="5"/>
    <col width="10" customWidth="1" min="6" max="6"/>
    <col width="18" customWidth="1" min="7" max="7"/>
  </cols>
  <sheetData>
    <row r="1" ht="38" customHeight="1">
      <c r="A1" s="57" t="inlineStr">
        <is>
          <t>BUDGET BREAKDOWN</t>
        </is>
      </c>
    </row>
    <row r="2" ht="18" customHeight="1">
      <c r="A2" s="18" t="inlineStr">
        <is>
          <t>All wedding expenses with automatic calculations</t>
        </is>
      </c>
    </row>
    <row r="3" ht="4" customHeight="1">
      <c r="A3" s="58" t="n"/>
      <c r="B3" s="58" t="n"/>
      <c r="C3" s="58" t="n"/>
      <c r="D3" s="58" t="n"/>
      <c r="E3" s="58" t="n"/>
      <c r="F3" s="58" t="n"/>
      <c r="G3" s="58" t="n"/>
    </row>
    <row r="4" ht="16" customHeight="1"/>
    <row r="5" ht="26" customHeight="1">
      <c r="A5" s="2" t="inlineStr">
        <is>
          <t>Category</t>
        </is>
      </c>
      <c r="B5" s="2" t="inlineStr">
        <is>
          <t>Details</t>
        </is>
      </c>
      <c r="C5" s="2" t="inlineStr">
        <is>
          <t>Budget</t>
        </is>
      </c>
      <c r="D5" s="2" t="inlineStr">
        <is>
          <t>Spent</t>
        </is>
      </c>
      <c r="E5" s="2" t="inlineStr">
        <is>
          <t>Remaining</t>
        </is>
      </c>
      <c r="F5" s="2" t="inlineStr">
        <is>
          <t>% Used</t>
        </is>
      </c>
      <c r="G5" s="2" t="inlineStr">
        <is>
          <t>Vendor</t>
        </is>
      </c>
    </row>
    <row r="6" ht="24" customHeight="1">
      <c r="A6" s="59">
        <f>Data!A3</f>
        <v/>
      </c>
      <c r="B6" s="60">
        <f>Data!B3</f>
        <v/>
      </c>
      <c r="C6" s="48">
        <f>Data!C3</f>
        <v/>
      </c>
      <c r="D6" s="48">
        <f>Data!D3</f>
        <v/>
      </c>
      <c r="E6" s="61">
        <f>C6-D6</f>
        <v/>
      </c>
      <c r="F6" s="62">
        <f>D6/C6</f>
        <v/>
      </c>
      <c r="G6" s="60">
        <f>Data!E3</f>
        <v/>
      </c>
    </row>
    <row r="7" ht="24" customHeight="1">
      <c r="A7" s="63">
        <f>Data!A4</f>
        <v/>
      </c>
      <c r="B7" s="64">
        <f>Data!B4</f>
        <v/>
      </c>
      <c r="C7" s="46">
        <f>Data!C4</f>
        <v/>
      </c>
      <c r="D7" s="46">
        <f>Data!D4</f>
        <v/>
      </c>
      <c r="E7" s="65">
        <f>C7-D7</f>
        <v/>
      </c>
      <c r="F7" s="66">
        <f>D7/C7</f>
        <v/>
      </c>
      <c r="G7" s="64">
        <f>Data!E4</f>
        <v/>
      </c>
    </row>
    <row r="8" ht="24" customHeight="1">
      <c r="A8" s="59">
        <f>Data!A5</f>
        <v/>
      </c>
      <c r="B8" s="60">
        <f>Data!B5</f>
        <v/>
      </c>
      <c r="C8" s="48">
        <f>Data!C5</f>
        <v/>
      </c>
      <c r="D8" s="48">
        <f>Data!D5</f>
        <v/>
      </c>
      <c r="E8" s="61">
        <f>C8-D8</f>
        <v/>
      </c>
      <c r="F8" s="62">
        <f>D8/C8</f>
        <v/>
      </c>
      <c r="G8" s="60">
        <f>Data!E5</f>
        <v/>
      </c>
    </row>
    <row r="9" ht="24" customHeight="1">
      <c r="A9" s="63">
        <f>Data!A6</f>
        <v/>
      </c>
      <c r="B9" s="64">
        <f>Data!B6</f>
        <v/>
      </c>
      <c r="C9" s="46">
        <f>Data!C6</f>
        <v/>
      </c>
      <c r="D9" s="46">
        <f>Data!D6</f>
        <v/>
      </c>
      <c r="E9" s="65">
        <f>C9-D9</f>
        <v/>
      </c>
      <c r="F9" s="66">
        <f>D9/C9</f>
        <v/>
      </c>
      <c r="G9" s="64">
        <f>Data!E6</f>
        <v/>
      </c>
    </row>
    <row r="10" ht="24" customHeight="1">
      <c r="A10" s="59">
        <f>Data!A7</f>
        <v/>
      </c>
      <c r="B10" s="60">
        <f>Data!B7</f>
        <v/>
      </c>
      <c r="C10" s="48">
        <f>Data!C7</f>
        <v/>
      </c>
      <c r="D10" s="48">
        <f>Data!D7</f>
        <v/>
      </c>
      <c r="E10" s="61">
        <f>C10-D10</f>
        <v/>
      </c>
      <c r="F10" s="62">
        <f>D10/C10</f>
        <v/>
      </c>
      <c r="G10" s="60">
        <f>Data!E7</f>
        <v/>
      </c>
    </row>
    <row r="11" ht="24" customHeight="1">
      <c r="A11" s="63">
        <f>Data!A8</f>
        <v/>
      </c>
      <c r="B11" s="64">
        <f>Data!B8</f>
        <v/>
      </c>
      <c r="C11" s="46">
        <f>Data!C8</f>
        <v/>
      </c>
      <c r="D11" s="46">
        <f>Data!D8</f>
        <v/>
      </c>
      <c r="E11" s="65">
        <f>C11-D11</f>
        <v/>
      </c>
      <c r="F11" s="66">
        <f>D11/C11</f>
        <v/>
      </c>
      <c r="G11" s="64">
        <f>Data!E8</f>
        <v/>
      </c>
    </row>
    <row r="12" ht="24" customHeight="1">
      <c r="A12" s="59">
        <f>Data!A9</f>
        <v/>
      </c>
      <c r="B12" s="60">
        <f>Data!B9</f>
        <v/>
      </c>
      <c r="C12" s="48">
        <f>Data!C9</f>
        <v/>
      </c>
      <c r="D12" s="48">
        <f>Data!D9</f>
        <v/>
      </c>
      <c r="E12" s="61">
        <f>C12-D12</f>
        <v/>
      </c>
      <c r="F12" s="62">
        <f>D12/C12</f>
        <v/>
      </c>
      <c r="G12" s="60">
        <f>Data!E9</f>
        <v/>
      </c>
    </row>
    <row r="13" ht="24" customHeight="1">
      <c r="A13" s="63">
        <f>Data!A10</f>
        <v/>
      </c>
      <c r="B13" s="64">
        <f>Data!B10</f>
        <v/>
      </c>
      <c r="C13" s="46">
        <f>Data!C10</f>
        <v/>
      </c>
      <c r="D13" s="46">
        <f>Data!D10</f>
        <v/>
      </c>
      <c r="E13" s="65">
        <f>C13-D13</f>
        <v/>
      </c>
      <c r="F13" s="66">
        <f>D13/C13</f>
        <v/>
      </c>
      <c r="G13" s="64">
        <f>Data!E10</f>
        <v/>
      </c>
    </row>
    <row r="14" ht="28" customHeight="1">
      <c r="A14" s="67" t="inlineStr">
        <is>
          <t>TOTAL</t>
        </is>
      </c>
      <c r="B14" s="68" t="n"/>
      <c r="C14" s="69">
        <f>SUM(C6:C13)</f>
        <v/>
      </c>
      <c r="D14" s="69">
        <f>SUM(D6:D13)</f>
        <v/>
      </c>
      <c r="E14" s="69">
        <f>C14-D14</f>
        <v/>
      </c>
      <c r="F14" s="70">
        <f>D14/C14</f>
        <v/>
      </c>
      <c r="G14" s="68" t="inlineStr"/>
    </row>
  </sheetData>
  <mergeCells count="3">
    <mergeCell ref="A14:B14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D2E46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8" customWidth="1" min="4" max="4"/>
    <col width="10" customWidth="1" min="5" max="5"/>
    <col width="12" customWidth="1" min="6" max="6"/>
    <col width="12" customWidth="1" min="7" max="7"/>
    <col width="10" customWidth="1" min="8" max="8"/>
  </cols>
  <sheetData>
    <row r="1" ht="38" customHeight="1">
      <c r="A1" s="57" t="inlineStr">
        <is>
          <t>GUEST LIST</t>
        </is>
      </c>
    </row>
    <row r="2" ht="18" customHeight="1">
      <c r="A2" s="18" t="inlineStr">
        <is>
          <t>Manage RSVPs, dietary restrictions, and seating</t>
        </is>
      </c>
    </row>
    <row r="3" ht="4" customHeight="1">
      <c r="A3" s="68" t="n"/>
      <c r="B3" s="68" t="n"/>
      <c r="C3" s="68" t="n"/>
      <c r="D3" s="68" t="n"/>
      <c r="E3" s="68" t="n"/>
      <c r="F3" s="68" t="n"/>
      <c r="G3" s="68" t="n"/>
      <c r="H3" s="68" t="n"/>
    </row>
    <row r="4" ht="16" customHeight="1"/>
    <row r="5" ht="26" customHeight="1">
      <c r="A5" s="71" t="inlineStr">
        <is>
          <t>Summary</t>
        </is>
      </c>
      <c r="B5" s="54" t="n"/>
      <c r="C5" s="54" t="n"/>
      <c r="D5" s="35" t="inlineStr">
        <is>
          <t>Guest Details</t>
        </is>
      </c>
      <c r="E5" s="36" t="n"/>
      <c r="F5" s="36" t="n"/>
      <c r="G5" s="36" t="n"/>
      <c r="H5" s="37" t="n"/>
    </row>
    <row r="6" ht="22" customHeight="1">
      <c r="A6" s="38" t="inlineStr">
        <is>
          <t>Total Guests</t>
        </is>
      </c>
      <c r="B6" s="39">
        <f>COUNTA(Data!A14:A23)</f>
        <v/>
      </c>
      <c r="C6" s="31" t="n"/>
      <c r="D6" s="41" t="inlineStr">
        <is>
          <t>Name</t>
        </is>
      </c>
      <c r="E6" s="41" t="inlineStr">
        <is>
          <t>Group</t>
        </is>
      </c>
      <c r="F6" s="41" t="inlineStr">
        <is>
          <t>Status</t>
        </is>
      </c>
      <c r="G6" s="41" t="inlineStr">
        <is>
          <t>Dietary</t>
        </is>
      </c>
      <c r="H6" s="41" t="inlineStr">
        <is>
          <t>Plus One</t>
        </is>
      </c>
    </row>
    <row r="7" ht="22" customHeight="1">
      <c r="A7" s="42" t="inlineStr">
        <is>
          <t>Attending</t>
        </is>
      </c>
      <c r="B7" s="43">
        <f>COUNTIF(Data!C14:C23,"Attending")</f>
        <v/>
      </c>
      <c r="C7" s="45" t="n"/>
      <c r="D7" s="42">
        <f>Data!A14</f>
        <v/>
      </c>
      <c r="E7" s="72">
        <f>Data!B14</f>
        <v/>
      </c>
      <c r="F7" s="73">
        <f>Data!C14</f>
        <v/>
      </c>
      <c r="G7" s="72">
        <f>Data!D14</f>
        <v/>
      </c>
      <c r="H7" s="74">
        <f>Data!E14</f>
        <v/>
      </c>
    </row>
    <row r="8" ht="22" customHeight="1">
      <c r="A8" s="38" t="inlineStr">
        <is>
          <t>Declined</t>
        </is>
      </c>
      <c r="B8" s="39">
        <f>COUNTIF(Data!C14:C23,"Declined")</f>
        <v/>
      </c>
      <c r="C8" s="31" t="n"/>
      <c r="D8" s="38">
        <f>Data!A15</f>
        <v/>
      </c>
      <c r="E8" s="75">
        <f>Data!B15</f>
        <v/>
      </c>
      <c r="F8" s="76">
        <f>Data!C15</f>
        <v/>
      </c>
      <c r="G8" s="75">
        <f>Data!D15</f>
        <v/>
      </c>
      <c r="H8" s="77">
        <f>Data!E15</f>
        <v/>
      </c>
    </row>
    <row r="9" ht="22" customHeight="1">
      <c r="A9" s="42" t="inlineStr">
        <is>
          <t>Pending</t>
        </is>
      </c>
      <c r="B9" s="43">
        <f>COUNTIF(Data!C14:C23,"Pending")</f>
        <v/>
      </c>
      <c r="C9" s="45" t="n"/>
      <c r="D9" s="42">
        <f>Data!A16</f>
        <v/>
      </c>
      <c r="E9" s="72">
        <f>Data!B16</f>
        <v/>
      </c>
      <c r="F9" s="73">
        <f>Data!C16</f>
        <v/>
      </c>
      <c r="G9" s="72">
        <f>Data!D16</f>
        <v/>
      </c>
      <c r="H9" s="74">
        <f>Data!E16</f>
        <v/>
      </c>
    </row>
    <row r="10" ht="22" customHeight="1">
      <c r="A10" s="38" t="inlineStr">
        <is>
          <t>With Plus Ones</t>
        </is>
      </c>
      <c r="B10" s="39">
        <f>COUNTIF(Data!E14:E23,"Yes")</f>
        <v/>
      </c>
      <c r="C10" s="31" t="n"/>
      <c r="D10" s="38">
        <f>Data!A17</f>
        <v/>
      </c>
      <c r="E10" s="75">
        <f>Data!B17</f>
        <v/>
      </c>
      <c r="F10" s="76">
        <f>Data!C17</f>
        <v/>
      </c>
      <c r="G10" s="75">
        <f>Data!D17</f>
        <v/>
      </c>
      <c r="H10" s="77">
        <f>Data!E17</f>
        <v/>
      </c>
    </row>
    <row r="11" ht="22" customHeight="1">
      <c r="D11" s="42">
        <f>Data!A18</f>
        <v/>
      </c>
      <c r="E11" s="72">
        <f>Data!B18</f>
        <v/>
      </c>
      <c r="F11" s="73">
        <f>Data!C18</f>
        <v/>
      </c>
      <c r="G11" s="72">
        <f>Data!D18</f>
        <v/>
      </c>
      <c r="H11" s="74">
        <f>Data!E18</f>
        <v/>
      </c>
    </row>
    <row r="12" ht="22" customHeight="1">
      <c r="D12" s="38">
        <f>Data!A19</f>
        <v/>
      </c>
      <c r="E12" s="75">
        <f>Data!B19</f>
        <v/>
      </c>
      <c r="F12" s="76">
        <f>Data!C19</f>
        <v/>
      </c>
      <c r="G12" s="75">
        <f>Data!D19</f>
        <v/>
      </c>
      <c r="H12" s="77">
        <f>Data!E19</f>
        <v/>
      </c>
    </row>
    <row r="13" ht="22" customHeight="1">
      <c r="D13" s="42">
        <f>Data!A20</f>
        <v/>
      </c>
      <c r="E13" s="72">
        <f>Data!B20</f>
        <v/>
      </c>
      <c r="F13" s="73">
        <f>Data!C20</f>
        <v/>
      </c>
      <c r="G13" s="72">
        <f>Data!D20</f>
        <v/>
      </c>
      <c r="H13" s="74">
        <f>Data!E20</f>
        <v/>
      </c>
    </row>
    <row r="14" ht="22" customHeight="1">
      <c r="D14" s="38">
        <f>Data!A21</f>
        <v/>
      </c>
      <c r="E14" s="75">
        <f>Data!B21</f>
        <v/>
      </c>
      <c r="F14" s="76">
        <f>Data!C21</f>
        <v/>
      </c>
      <c r="G14" s="75">
        <f>Data!D21</f>
        <v/>
      </c>
      <c r="H14" s="77">
        <f>Data!E21</f>
        <v/>
      </c>
    </row>
    <row r="15" ht="22" customHeight="1">
      <c r="D15" s="42">
        <f>Data!A22</f>
        <v/>
      </c>
      <c r="E15" s="72">
        <f>Data!B22</f>
        <v/>
      </c>
      <c r="F15" s="73">
        <f>Data!C22</f>
        <v/>
      </c>
      <c r="G15" s="72">
        <f>Data!D22</f>
        <v/>
      </c>
      <c r="H15" s="74">
        <f>Data!E22</f>
        <v/>
      </c>
    </row>
    <row r="16" ht="22" customHeight="1">
      <c r="D16" s="38">
        <f>Data!A23</f>
        <v/>
      </c>
      <c r="E16" s="75">
        <f>Data!B23</f>
        <v/>
      </c>
      <c r="F16" s="76">
        <f>Data!C23</f>
        <v/>
      </c>
      <c r="G16" s="75">
        <f>Data!D23</f>
        <v/>
      </c>
      <c r="H16" s="77">
        <f>Data!E23</f>
        <v/>
      </c>
    </row>
  </sheetData>
  <mergeCells count="9">
    <mergeCell ref="B6:C6"/>
    <mergeCell ref="B7:C7"/>
    <mergeCell ref="A5:C5"/>
    <mergeCell ref="A2:H2"/>
    <mergeCell ref="B10:C10"/>
    <mergeCell ref="D5:H5"/>
    <mergeCell ref="A1:H1"/>
    <mergeCell ref="B9:C9"/>
    <mergeCell ref="B8:C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7D6D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2" customWidth="1" min="4" max="4"/>
    <col width="28" customWidth="1" min="5" max="5"/>
  </cols>
  <sheetData>
    <row r="1" ht="38" customHeight="1">
      <c r="A1" s="57" t="inlineStr">
        <is>
          <t>WEDDING DAY TIMELINE</t>
        </is>
      </c>
    </row>
    <row r="2" ht="18" customHeight="1">
      <c r="A2" s="18" t="inlineStr">
        <is>
          <t>June 14, 2026 — Grandview Estate, Napa Valley</t>
        </is>
      </c>
    </row>
    <row r="3" ht="4" customHeight="1">
      <c r="A3" s="19" t="n"/>
      <c r="B3" s="19" t="n"/>
      <c r="C3" s="19" t="n"/>
      <c r="D3" s="19" t="n"/>
      <c r="E3" s="19" t="n"/>
    </row>
    <row r="4" ht="16" customHeight="1"/>
    <row r="5" ht="26" customHeight="1">
      <c r="A5" s="2" t="inlineStr">
        <is>
          <t>Time</t>
        </is>
      </c>
      <c r="B5" s="2" t="inlineStr">
        <is>
          <t>Event</t>
        </is>
      </c>
      <c r="C5" s="2" t="inlineStr">
        <is>
          <t>Location</t>
        </is>
      </c>
      <c r="D5" s="2" t="inlineStr">
        <is>
          <t>Status</t>
        </is>
      </c>
      <c r="E5" s="2" t="inlineStr">
        <is>
          <t>Notes</t>
        </is>
      </c>
    </row>
    <row r="6" ht="24" customHeight="1">
      <c r="A6" s="78" t="inlineStr">
        <is>
          <t>8:00 AM</t>
        </is>
      </c>
      <c r="B6" s="59" t="inlineStr">
        <is>
          <t>Hair &amp; Makeup</t>
        </is>
      </c>
      <c r="C6" s="60" t="inlineStr">
        <is>
          <t>Bridal suite</t>
        </is>
      </c>
      <c r="D6" s="79" t="inlineStr">
        <is>
          <t>Done</t>
        </is>
      </c>
      <c r="E6" s="60" t="inlineStr">
        <is>
          <t>4 artists on site</t>
        </is>
      </c>
    </row>
    <row r="7" ht="24" customHeight="1">
      <c r="A7" s="80" t="inlineStr">
        <is>
          <t>11:00 AM</t>
        </is>
      </c>
      <c r="B7" s="63" t="inlineStr">
        <is>
          <t>Photographer Arrives</t>
        </is>
      </c>
      <c r="C7" s="64" t="inlineStr">
        <is>
          <t>Getting-ready area</t>
        </is>
      </c>
      <c r="D7" s="81" t="inlineStr">
        <is>
          <t>Scheduled</t>
        </is>
      </c>
      <c r="E7" s="64" t="inlineStr">
        <is>
          <t>Detail shots, candids</t>
        </is>
      </c>
    </row>
    <row r="8" ht="24" customHeight="1">
      <c r="A8" s="78" t="inlineStr">
        <is>
          <t>1:00 PM</t>
        </is>
      </c>
      <c r="B8" s="59" t="inlineStr">
        <is>
          <t>First Look</t>
        </is>
      </c>
      <c r="C8" s="60" t="inlineStr">
        <is>
          <t>Garden terrace</t>
        </is>
      </c>
      <c r="D8" s="81" t="inlineStr">
        <is>
          <t>Scheduled</t>
        </is>
      </c>
      <c r="E8" s="60" t="inlineStr">
        <is>
          <t>Private moment</t>
        </is>
      </c>
    </row>
    <row r="9" ht="24" customHeight="1">
      <c r="A9" s="80" t="inlineStr">
        <is>
          <t>2:30 PM</t>
        </is>
      </c>
      <c r="B9" s="63" t="inlineStr">
        <is>
          <t>Ceremony</t>
        </is>
      </c>
      <c r="C9" s="64" t="inlineStr">
        <is>
          <t>Grandview lawn</t>
        </is>
      </c>
      <c r="D9" s="81" t="inlineStr">
        <is>
          <t>Scheduled</t>
        </is>
      </c>
      <c r="E9" s="64" t="inlineStr">
        <is>
          <t>30 minutes</t>
        </is>
      </c>
    </row>
    <row r="10" ht="24" customHeight="1">
      <c r="A10" s="78" t="inlineStr">
        <is>
          <t>3:00 PM</t>
        </is>
      </c>
      <c r="B10" s="59" t="inlineStr">
        <is>
          <t>Cocktail Hour</t>
        </is>
      </c>
      <c r="C10" s="60" t="inlineStr">
        <is>
          <t>Terrace &amp; garden</t>
        </is>
      </c>
      <c r="D10" s="81" t="inlineStr">
        <is>
          <t>Scheduled</t>
        </is>
      </c>
      <c r="E10" s="60" t="inlineStr">
        <is>
          <t>Passed hors d'oeuvres</t>
        </is>
      </c>
    </row>
    <row r="11" ht="24" customHeight="1">
      <c r="A11" s="80" t="inlineStr">
        <is>
          <t>4:30 PM</t>
        </is>
      </c>
      <c r="B11" s="63" t="inlineStr">
        <is>
          <t>Reception</t>
        </is>
      </c>
      <c r="C11" s="64" t="inlineStr">
        <is>
          <t>Grand ballroom</t>
        </is>
      </c>
      <c r="D11" s="81" t="inlineStr">
        <is>
          <t>Scheduled</t>
        </is>
      </c>
      <c r="E11" s="64" t="inlineStr">
        <is>
          <t>Dinner, speeches, dancing</t>
        </is>
      </c>
    </row>
    <row r="12" ht="24" customHeight="1">
      <c r="A12" s="78" t="inlineStr">
        <is>
          <t>10:00 PM</t>
        </is>
      </c>
      <c r="B12" s="59" t="inlineStr">
        <is>
          <t>Sparkler Send-off</t>
        </is>
      </c>
      <c r="C12" s="60" t="inlineStr">
        <is>
          <t>Front circle drive</t>
        </is>
      </c>
      <c r="D12" s="81" t="inlineStr">
        <is>
          <t>Scheduled</t>
        </is>
      </c>
      <c r="E12" s="60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2026-06-10T23:53:53Z</dcterms:created>
  <dcterms:modified xsi:type="dcterms:W3CDTF">2026-06-10T23:53:53Z</dcterms:modified>
</cp:coreProperties>
</file>